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\Desktop\vba_vscode\"/>
    </mc:Choice>
  </mc:AlternateContent>
  <xr:revisionPtr revIDLastSave="0" documentId="13_ncr:1_{151EB3BD-3AC5-4F74-8166-D7F4429F40A2}" xr6:coauthVersionLast="47" xr6:coauthVersionMax="47" xr10:uidLastSave="{00000000-0000-0000-0000-000000000000}"/>
  <bookViews>
    <workbookView xWindow="-45" yWindow="90" windowWidth="19290" windowHeight="9525" tabRatio="787" activeTab="2" xr2:uid="{00000000-000D-0000-FFFF-FFFF00000000}"/>
  </bookViews>
  <sheets>
    <sheet name="Dashboard" sheetId="25" r:id="rId1"/>
    <sheet name="Monthly_Review" sheetId="17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agory" sheetId="34" r:id="rId8"/>
    <sheet name="Order_History (2)" sheetId="33" r:id="rId9"/>
    <sheet name="storage" sheetId="20" r:id="rId10"/>
  </sheets>
  <functionGroups builtInGroupCount="19"/>
  <externalReferences>
    <externalReference r:id="rId11"/>
  </externalReferences>
  <definedNames>
    <definedName name="_xlnm._FilterDatabase" localSheetId="4" hidden="1">Order_History!$A$2:$W$15</definedName>
    <definedName name="_xlnm._FilterDatabase" localSheetId="8" hidden="1">'Order_History (2)'!$A$2:$W$44</definedName>
    <definedName name="_xlnm._FilterDatabase" localSheetId="3" hidden="1">Portfolio_bk!$A$8:$D$29</definedName>
    <definedName name="_xlnm._FilterDatabase" localSheetId="2" hidden="1">Position!$A$12:$D$15</definedName>
    <definedName name="Z_0BDD3F89_E0CB_4EA4_8A53_3AADAAB98DEF_.wvu.FilterData" localSheetId="4" hidden="1">Order_History!$A$2:$C$25</definedName>
    <definedName name="Z_0BDD3F89_E0CB_4EA4_8A53_3AADAAB98DEF_.wvu.FilterData" localSheetId="8" hidden="1">'Order_History (2)'!$A$2:$C$54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18" l="1"/>
  <c r="F10" i="18"/>
  <c r="F9" i="18"/>
  <c r="F8" i="18"/>
  <c r="F7" i="18"/>
  <c r="F6" i="18"/>
  <c r="F40" i="33"/>
  <c r="F38" i="33"/>
  <c r="F37" i="33"/>
  <c r="F36" i="33"/>
  <c r="F35" i="33"/>
  <c r="F34" i="33"/>
  <c r="F32" i="33"/>
  <c r="F30" i="33"/>
  <c r="F29" i="33"/>
  <c r="F28" i="33"/>
  <c r="F27" i="33"/>
  <c r="F26" i="33"/>
  <c r="F25" i="33"/>
  <c r="F24" i="33"/>
  <c r="F22" i="33"/>
  <c r="F21" i="33"/>
  <c r="F19" i="33"/>
  <c r="F18" i="33"/>
  <c r="F16" i="33"/>
  <c r="F15" i="33"/>
  <c r="F13" i="33"/>
  <c r="F12" i="33"/>
  <c r="F10" i="33"/>
  <c r="F7" i="33"/>
  <c r="F4" i="33"/>
  <c r="F47" i="32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03E2A94C-D3CC-4C20-A5A4-334609E064E7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E5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<sst xmlns="http://schemas.openxmlformats.org/spreadsheetml/2006/main" count="454" uniqueCount="163">
  <si>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</si>
  <si>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</si>
  <si>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</si>
  <si>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</si>
  <si>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</si>
  <si>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</si>
  <si>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</si>
  <si>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</si>
  <si>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</si>
  <si>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</si>
  <si>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</si>
  <si>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</si>
  <si>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</si>
  <si>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</si>
  <si>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</si>
  <si>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</si>
  <si>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</si>
  <si>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</si>
  <si>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</si>
  <si>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</si>
  <si>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</si>
  <si>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</si>
  <si>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</si>
  <si>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</si>
  <si>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</si>
  <si>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</si>
  <si>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</si>
  <si>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</si>
  <si>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</si>
  <si>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</si>
  <si>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</si>
  <si>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</si>
  <si>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</si>
  <si>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</si>
  <si>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</si>
  <si>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</si>
  <si>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</si>
  <si>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</si>
  <si>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giảm mạnh chạm sup, mua thử 1 ít (lần đầu mua coin). Bỏ vào 1 ít để tìm hiểu thị trường, mua hold chứ chưa trade</t>
  </si>
  <si>
    <t>USDT</t>
  </si>
  <si>
    <t>USDT/VND</t>
  </si>
  <si>
    <t>ĐÁNH GIÁ ĐẦU TƯ COIN</t>
  </si>
  <si>
    <t>Binace dính FUD, rút bớt ra cho an toàn</t>
  </si>
  <si>
    <t>ARB</t>
  </si>
  <si>
    <t>bão Binance đã qua, nạp vào chơi tiếp</t>
  </si>
  <si>
    <t>nạp vào chơi coin lần đầu</t>
  </si>
  <si>
    <t>FET</t>
  </si>
  <si>
    <t>LTC</t>
  </si>
  <si>
    <t>chạy rút, gần lên đỉnh, chốt 1/2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</si>
  <si>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</si>
  <si>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</si>
  <si>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</si>
  <si>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</si>
  <si>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</si>
  <si>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</si>
  <si>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</si>
  <si>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</si>
  <si>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</si>
  <si>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</si>
  <si>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</si>
  <si>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</si>
  <si>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</si>
  <si>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</si>
  <si>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</si>
  <si>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</si>
  <si>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</si>
  <si>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</si>
  <si>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</si>
  <si>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</si>
  <si>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</si>
  <si>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</si>
  <si>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</si>
  <si>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</si>
  <si>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</si>
  <si>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</si>
  <si>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</si>
  <si>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</si>
  <si>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</si>
  <si>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</si>
  <si>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</si>
  <si>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</si>
  <si>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</si>
  <si>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</si>
  <si>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</si>
  <si>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</si>
  <si>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</si>
  <si>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</si>
  <si>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</si>
  <si>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</si>
  <si>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</si>
  <si>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</si>
  <si>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</si>
  <si>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</si>
  <si>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</si>
  <si>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</si>
  <si>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</si>
  <si>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</si>
  <si>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</si>
  <si>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</si>
  <si>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</si>
  <si>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</si>
  <si>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</si>
  <si>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</si>
  <si>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</si>
  <si>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</si>
  <si>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</si>
  <si>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</si>
  <si>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</si>
  <si>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</si>
  <si>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</si>
  <si>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</si>
  <si>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</si>
  <si>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Cơ cấu danh mục (tiền/coin)</t>
  </si>
  <si>
    <t>Cơ cấu danh mục (btc, alt top, alt rác)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</si>
  <si>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</si>
  <si>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</si>
  <si>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</si>
  <si>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</si>
  <si>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</si>
  <si>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</si>
  <si>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</si>
  <si>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</si>
  <si>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</si>
  <si>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</si>
  <si>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</si>
  <si>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</si>
  <si>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</si>
  <si>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</si>
  <si>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</si>
  <si>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</si>
  <si>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Open</t>
  </si>
  <si>
    <t>Position</t>
  </si>
  <si>
    <t>Open date</t>
  </si>
  <si>
    <t>Close date</t>
  </si>
  <si>
    <t>Buy
Qty</t>
  </si>
  <si>
    <t>Cost</t>
  </si>
  <si>
    <t>Avg. 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</si>
  <si>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</si>
  <si>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</si>
  <si>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</si>
  <si>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</si>
  <si>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</si>
  <si>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</si>
  <si>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</si>
  <si>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</si>
  <si>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</si>
  <si>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</si>
  <si>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</si>
  <si>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/>
  </si>
  <si>
    <t>Until date</t>
  </si>
  <si>
    <t>(UTC+7)</t>
  </si>
  <si>
    <t>bybit</t>
  </si>
  <si>
    <t>Cash</t>
  </si>
  <si>
    <t>ETH: 4,010; SOL: 354</t>
  </si>
  <si>
    <t>ETH: 3,612</t>
  </si>
  <si>
    <t>ETH: 2,295</t>
  </si>
  <si>
    <t>XRP</t>
  </si>
  <si>
    <t>TRUMP</t>
  </si>
  <si>
    <t>Alt.LOW</t>
  </si>
  <si>
    <t>Alt.MID</t>
  </si>
  <si>
    <t>Alt.TOP</t>
  </si>
  <si>
    <t>PEPE</t>
  </si>
  <si>
    <t>XLM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</si>
</sst>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</numFmts>
  <fonts count="22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0"/>
      <color rgb="FF339966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7" fillId="0" borderId="1"/>
  </cellStyleXfs>
  <cellXfs count="123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3" fillId="0" borderId="3" xfId="0" applyNumberFormat="1" applyFont="1" applyBorder="1" applyAlignment="1">
      <alignment horizontal="left" vertical="top"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170" fontId="2" fillId="0" borderId="5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 vertical="center" wrapText="1"/>
    </xf>
    <xf numFmtId="173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173" fontId="0" fillId="0" borderId="1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10" fontId="17" fillId="0" borderId="1" xfId="0" applyNumberFormat="1" applyFon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172" fontId="7" fillId="0" borderId="0" xfId="0" applyNumberFormat="1" applyFont="1" applyAlignment="1">
      <alignment horizontal="right" vertical="center"/>
    </xf>
    <xf numFmtId="4" fontId="2" fillId="0" borderId="6" xfId="0" applyNumberFormat="1" applyFont="1" applyBorder="1" applyAlignment="1">
      <alignment horizontal="right" vertical="center"/>
    </xf>
    <xf numFmtId="3" fontId="2" fillId="0" borderId="5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70" fontId="0" fillId="0" borderId="0" xfId="0" applyNumberFormat="1" applyAlignment="1">
      <alignment horizontal="right" vertical="center"/>
    </xf>
    <xf numFmtId="3" fontId="14" fillId="0" borderId="0" xfId="0" applyNumberFormat="1" applyFont="1" applyAlignment="1">
      <alignment horizontal="right" vertical="center"/>
    </xf>
    <xf numFmtId="10" fontId="14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4" fontId="7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7" fillId="0" borderId="0" xfId="0" applyNumberFormat="1" applyFont="1" applyAlignment="1">
      <alignment horizontal="right" vertical="center"/>
    </xf>
    <xf numFmtId="10" fontId="17" fillId="0" borderId="0" xfId="0" applyNumberFormat="1" applyFont="1" applyAlignment="1">
      <alignment horizontal="right" vertical="center"/>
    </xf>
    <xf numFmtId="170" fontId="2" fillId="0" borderId="1" xfId="0" applyNumberFormat="1" applyFont="1" applyBorder="1" applyAlignment="1">
      <alignment horizontal="right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10" fontId="21" fillId="0" borderId="1" xfId="0" applyNumberFormat="1" applyFont="1" applyBorder="1" applyAlignment="1">
      <alignment horizontal="right" vertical="center"/>
    </xf>
    <xf numFmtId="3" fontId="17" fillId="0" borderId="6" xfId="0" applyNumberFormat="1" applyFont="1" applyBorder="1" applyAlignment="1">
      <alignment horizontal="right" vertical="center"/>
    </xf>
    <xf numFmtId="3" fontId="21" fillId="0" borderId="5" xfId="0" applyNumberFormat="1" applyFont="1" applyBorder="1" applyAlignment="1">
      <alignment horizontal="right" vertical="center"/>
    </xf>
    <xf numFmtId="0" fontId="7" fillId="0" borderId="1" xfId="2"/>
    <xf numFmtId="0" fontId="11" fillId="0" borderId="1" xfId="2" applyFont="1"/>
  </cellXfs>
  <cellStyles count="3">
    <cellStyle name="Normal" xfId="0" builtinId="0"/>
    <cellStyle name="Normal 2" xfId="2" xr:uid="{658D3405-6236-4782-B77B-CE98E3D78B88}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Cash vs Coin Balance
</a:t>
            </a:r>
            <a:r>
              <a:rPr lang="en-US" sz="1000"/>
              <a:t>2025-08-19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Cash vs Coin</c:v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Cash – 20.9% (1,232)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B7A-459A-AC16-BBC87BCBDB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Coin – 79.1% (4,676)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B7A-459A-AC16-BBC87BCBDBA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1232</c:v>
              </c:pt>
              <c:pt idx="1">
                <c:v>4675.6396436200002</c:v>
              </c:pt>
            </c:numLit>
          </c:val>
          <c:extLst>
            <c:ext xmlns:c16="http://schemas.microsoft.com/office/drawing/2014/chart" uri="{C3380CC4-5D6E-409C-BE32-E72D297353CC}">
              <c16:uniqueId val="{00000003-DB7A-459A-AC16-BBC87BCBD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BTC vs Alt.TOP vs Alt.MEME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BTC</c:v>
          </c:tx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Daily_Snapshot!#REF!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5E6-40CF-ADE6-6FDAD6507902}"/>
            </c:ext>
          </c:extLst>
        </c:ser>
        <c:ser>
          <c:idx val="1"/>
          <c:order val="1"/>
          <c:tx>
            <c:v>Alt.TOP</c:v>
          </c:tx>
          <c:spPr>
            <a:ln w="25400">
              <a:noFill/>
            </a:ln>
          </c:spPr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Daily_Snapshot!#REF!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5E6-40CF-ADE6-6FDAD6507902}"/>
            </c:ext>
          </c:extLst>
        </c:ser>
        <c:ser>
          <c:idx val="2"/>
          <c:order val="2"/>
          <c:tx>
            <c:v>Alt.MEME</c:v>
          </c:tx>
          <c:spPr>
            <a:ln w="25400">
              <a:noFill/>
            </a:ln>
          </c:spPr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Daily_Snapshot!#REF!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5E6-40CF-ADE6-6FDAD65079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908879"/>
        <c:axId val="1078909359"/>
      </c:areaChart>
      <c:catAx>
        <c:axId val="1078908879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78909359"/>
        <c:crosses val="autoZero"/>
        <c:auto val="1"/>
        <c:lblAlgn val="ctr"/>
        <c:lblOffset val="100"/>
        <c:noMultiLvlLbl val="1"/>
      </c:catAx>
      <c:valAx>
        <c:axId val="107890935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07890887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BTC vs Alt.TOP vs Alt.MEME
8/19/2025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BTC</c:v>
          </c:tx>
          <c:spPr>
            <a:ln w="25400">
              <a:noFill/>
            </a:ln>
          </c:spPr>
          <c:cat>
            <c:numRef>
              <c:f>Daily_Snapshot!$A$2:$A$11</c:f>
              <c:numCache>
                <c:formatCode>yyyy\-mm\-dd</c:formatCode>
                <c:ptCount val="10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45879</c:v>
                </c:pt>
                <c:pt idx="9">
                  <c:v>45881</c:v>
                </c:pt>
              </c:numCache>
            </c:numRef>
          </c:cat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2F4-4B84-A5A2-70299B337ABD}"/>
            </c:ext>
          </c:extLst>
        </c:ser>
        <c:ser>
          <c:idx val="1"/>
          <c:order val="1"/>
          <c:tx>
            <c:v>Alt.TOP</c:v>
          </c:tx>
          <c:spPr>
            <a:ln w="25400">
              <a:noFill/>
            </a:ln>
          </c:spPr>
          <c:cat>
            <c:numRef>
              <c:f>Daily_Snapshot!$A$2:$A$11</c:f>
              <c:numCache>
                <c:formatCode>yyyy\-mm\-dd</c:formatCode>
                <c:ptCount val="10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45879</c:v>
                </c:pt>
                <c:pt idx="9">
                  <c:v>45881</c:v>
                </c:pt>
              </c:numCache>
            </c:numRef>
          </c:cat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F4-4B84-A5A2-70299B337ABD}"/>
            </c:ext>
          </c:extLst>
        </c:ser>
        <c:ser>
          <c:idx val="2"/>
          <c:order val="2"/>
          <c:tx>
            <c:v>Alt.MEME</c:v>
          </c:tx>
          <c:spPr>
            <a:ln w="25400">
              <a:noFill/>
            </a:ln>
          </c:spPr>
          <c:cat>
            <c:numRef>
              <c:f>Daily_Snapshot!$A$2:$A$11</c:f>
              <c:numCache>
                <c:formatCode>yyyy\-mm\-dd</c:formatCode>
                <c:ptCount val="10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45879</c:v>
                </c:pt>
                <c:pt idx="9">
                  <c:v>45881</c:v>
                </c:pt>
              </c:numCache>
            </c:numRef>
          </c:cat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2F4-4B84-A5A2-70299B337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903119"/>
        <c:axId val="1078903599"/>
      </c:areaChart>
      <c:catAx>
        <c:axId val="107890311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078903599"/>
        <c:crosses val="autoZero"/>
        <c:auto val="0"/>
        <c:lblAlgn val="ctr"/>
        <c:lblOffset val="100"/>
        <c:tickLblSkip val="1"/>
        <c:noMultiLvlLbl val="0"/>
      </c:catAx>
      <c:valAx>
        <c:axId val="107890359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07890311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Cash</a:t>
            </a:r>
            <a:r>
              <a:rPr lang="en-US" sz="1000" baseline="0"/>
              <a:t> vs Coin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2100</c:v>
              </c:pt>
              <c:pt idx="1">
                <c:v>2491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Portfolio1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2125</c:v>
              </c:pt>
              <c:pt idx="2">
                <c:v>365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577-4A65-861D-5801919C6F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Portfolio2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[1]Position!$Z$10:$Z$11</c:f>
              <c:numCache>
                <c:formatCode>General</c:formatCode>
                <c:ptCount val="2"/>
              </c:numCache>
            </c:numRef>
          </c:cat>
          <c:val>
            <c:numRef>
              <c:f>[1]Position!$AA$10:$AA$11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B243-4388-8150-45CE89E9D9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558800</xdr:colOff>
      <xdr:row>4</xdr:row>
      <xdr:rowOff>114300</xdr:rowOff>
    </xdr:from>
    <xdr:to>
      <xdr:col>25</xdr:col>
      <xdr:colOff>254000</xdr:colOff>
      <xdr:row>28</xdr:row>
      <xdr:rowOff>38100</xdr:rowOff>
    </xdr:to>
    <xdr:graphicFrame macro="">
      <xdr:nvGraphicFramePr>
        <xdr:cNvPr id="8" name="CashCoinPie">
          <a:extLst>
            <a:ext uri="{FF2B5EF4-FFF2-40B4-BE49-F238E27FC236}">
              <a16:creationId xmlns:a16="http://schemas.microsoft.com/office/drawing/2014/main" id="{421B81BE-1829-2B91-C8AF-5D9C05D1CE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152400</xdr:colOff>
      <xdr:row>35</xdr:row>
      <xdr:rowOff>47625</xdr:rowOff>
    </xdr:from>
    <xdr:to>
      <xdr:col>17</xdr:col>
      <xdr:colOff>50800</xdr:colOff>
      <xdr:row>63</xdr:row>
      <xdr:rowOff>85725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4B91FB1-4AFE-64AE-34B7-11C28030F1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152400</xdr:colOff>
      <xdr:row>35</xdr:row>
      <xdr:rowOff>47625</xdr:rowOff>
    </xdr:from>
    <xdr:to>
      <xdr:col>17</xdr:col>
      <xdr:colOff>50800</xdr:colOff>
      <xdr:row>63</xdr:row>
      <xdr:rowOff>85725</xdr:rowOff>
    </xdr:to>
    <xdr:graphicFrame macro="">
      <xdr:nvGraphicFramePr>
        <xdr:cNvPr id="12" name="CompositionChart">
          <a:extLst>
            <a:ext uri="{FF2B5EF4-FFF2-40B4-BE49-F238E27FC236}">
              <a16:creationId xmlns:a16="http://schemas.microsoft.com/office/drawing/2014/main" id="{67336362-FE4C-1213-53AE-6A2677184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142875</xdr:rowOff>
        </xdr:from>
        <xdr:to>
          <xdr:col>5</xdr:col>
          <xdr:colOff>66675</xdr:colOff>
          <xdr:row>3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320952</xdr:colOff>
          <xdr:row>0</xdr:row>
          <xdr:rowOff>165238</xdr:rowOff>
        </xdr:from>
        <xdr:to>
          <xdr:col>8</xdr:col>
          <xdr:colOff>204166</xdr:colOff>
          <xdr:row>3</xdr:row>
          <xdr:rowOff>23605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372717</xdr:colOff>
      <xdr:row>3</xdr:row>
      <xdr:rowOff>52614</xdr:rowOff>
    </xdr:from>
    <xdr:to>
      <xdr:col>5</xdr:col>
      <xdr:colOff>282071</xdr:colOff>
      <xdr:row>10</xdr:row>
      <xdr:rowOff>946718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205745</xdr:colOff>
      <xdr:row>3</xdr:row>
      <xdr:rowOff>66261</xdr:rowOff>
    </xdr:from>
    <xdr:to>
      <xdr:col>10</xdr:col>
      <xdr:colOff>563388</xdr:colOff>
      <xdr:row>10</xdr:row>
      <xdr:rowOff>960365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D275E3A-486D-45FD-BBC8-035DF788B6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122031</xdr:colOff>
      <xdr:row>3</xdr:row>
      <xdr:rowOff>51684</xdr:rowOff>
    </xdr:from>
    <xdr:to>
      <xdr:col>16</xdr:col>
      <xdr:colOff>275572</xdr:colOff>
      <xdr:row>10</xdr:row>
      <xdr:rowOff>945788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FB78254-2F50-49EF-B5F9-A4628B2EF0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/Users/AD/Downloads/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 refreshError="1"/>
      <sheetData sheetId="1" refreshError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  <row r="60">
          <cell r="Z60" t="str">
            <v>BTC</v>
          </cell>
          <cell r="AA60">
            <v>1233</v>
          </cell>
        </row>
        <row r="61">
          <cell r="Z61" t="str">
            <v>Alt.TOP</v>
          </cell>
          <cell r="AA61">
            <v>0</v>
          </cell>
        </row>
        <row r="62">
          <cell r="Z62" t="str">
            <v>Alt.MID</v>
          </cell>
          <cell r="AA62">
            <v>0</v>
          </cell>
        </row>
        <row r="63">
          <cell r="Z63" t="str">
            <v>Alt.LOW</v>
          </cell>
          <cell r="AA63">
            <v>962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0157-53FA-41B2-9100-018E86C45F9E}">
  <sheetPr codeName="Sheet4"/>
  <dimension ref="B3:G3"/>
  <sheetViews>
    <sheetView topLeftCell="C43" zoomScaleNormal="100" workbookViewId="0">
      <selection activeCell="S52" sqref="S52"/>
    </sheetView>
  </sheetViews>
  <sheetFormatPr defaultRowHeight="12.75" x14ac:dyDescent="0.2"/>
  <sheetData>
    <row r="3" spans="2:7" x14ac:dyDescent="0.2">
      <c r="B3" s="57" t="s">
        <v>112</v>
      </c>
      <c r="G3" s="57" t="s">
        <v>113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13" sqref="F13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41</v>
      </c>
    </row>
    <row r="2" spans="1:10" ht="15.75" customHeight="1" x14ac:dyDescent="0.2">
      <c r="B2" s="7">
        <v>45869</v>
      </c>
      <c r="C2" s="7">
        <v>45565</v>
      </c>
      <c r="D2" s="7"/>
      <c r="E2" s="30" t="s">
        <v>28</v>
      </c>
    </row>
    <row r="3" spans="1:10" ht="15.75" customHeight="1" x14ac:dyDescent="0.2">
      <c r="A3" s="2" t="s">
        <v>3</v>
      </c>
      <c r="B3" s="3"/>
      <c r="C3" s="3"/>
      <c r="D3" s="3"/>
      <c r="E3" s="38"/>
      <c r="F3" s="37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1" t="s">
        <v>111</v>
      </c>
      <c r="F4" s="32">
        <f>SUM(B5:D5)-SUM(B6:D6)</f>
        <v>4663.4799999999996</v>
      </c>
      <c r="G4" s="61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1" t="s">
        <v>0</v>
      </c>
      <c r="F5" s="32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1" t="s">
        <v>1</v>
      </c>
      <c r="F6" s="32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1" t="s">
        <v>10</v>
      </c>
      <c r="F7" s="52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4"/>
      <c r="G16" s="23"/>
      <c r="I16" s="23"/>
      <c r="J16" s="23"/>
    </row>
    <row r="17" spans="2:9" ht="15.75" customHeight="1" x14ac:dyDescent="0.25">
      <c r="B17" s="3"/>
      <c r="C17" s="3"/>
      <c r="D17" s="3"/>
      <c r="E17" s="44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40"/>
      <c r="C19" s="40"/>
      <c r="D19" s="3"/>
      <c r="E19" s="3"/>
      <c r="G19" s="23"/>
      <c r="I19" s="23"/>
    </row>
    <row r="20" spans="2:9" ht="15.75" customHeight="1" x14ac:dyDescent="0.2">
      <c r="B20" s="41"/>
      <c r="C20" s="41"/>
      <c r="E20" s="3"/>
      <c r="G20" s="23"/>
      <c r="I20" s="23"/>
    </row>
    <row r="21" spans="2:9" ht="15.75" customHeight="1" x14ac:dyDescent="0.2">
      <c r="B21" s="41"/>
      <c r="C21" s="41"/>
      <c r="E21" s="3"/>
      <c r="G21" s="23"/>
      <c r="I21" s="23"/>
    </row>
    <row r="22" spans="2:9" ht="15.75" customHeight="1" x14ac:dyDescent="0.2">
      <c r="B22" s="41"/>
      <c r="C22" s="41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40"/>
      <c r="C26" s="40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P866"/>
  <sheetViews>
    <sheetView tabSelected="1" zoomScale="85" zoomScaleNormal="85" workbookViewId="0">
      <selection activeCell="D16" sqref="D16"/>
    </sheetView>
  </sheetViews>
  <sheetFormatPr defaultColWidth="14.42578125" defaultRowHeight="15" customHeight="1" x14ac:dyDescent="0.2"/>
  <cols>
    <col min="1" max="1" width="15.140625" bestFit="1" customWidth="1"/>
    <col min="2" max="2" width="10.7109375" bestFit="1" customWidth="1"/>
    <col min="3" max="3" width="16" bestFit="1" customWidth="1"/>
    <col min="4" max="4" width="16.42578125" bestFit="1" customWidth="1"/>
    <col min="5" max="6" width="5.7109375" bestFit="1" customWidth="1"/>
    <col min="7" max="7" width="9.140625" bestFit="1" customWidth="1"/>
    <col min="8" max="9" width="8.140625" bestFit="1" customWidth="1"/>
    <col min="10" max="10" width="10" bestFit="1" customWidth="1"/>
    <col min="11" max="11" width="8.5703125" bestFit="1" customWidth="1"/>
    <col min="12" max="13" width="9.5703125" bestFit="1" customWidth="1"/>
    <col min="14" max="14" width="4.5703125" bestFit="1" customWidth="1"/>
    <col min="15" max="15" width="7" bestFit="1" customWidth="1"/>
    <col min="16" max="16" width="8.140625" style="33" bestFit="1" customWidth="1"/>
    <col min="17" max="17" width="25.5703125" customWidth="1"/>
    <col min="18" max="18" width="11.5703125" customWidth="1"/>
  </cols>
  <sheetData>
    <row r="1" spans="1:16" ht="15.75" customHeight="1" x14ac:dyDescent="0.2">
      <c r="A1" s="6" t="s">
        <v>137</v>
      </c>
      <c r="B1" s="47"/>
      <c r="C1" s="47"/>
      <c r="D1" s="3"/>
      <c r="E1" s="3"/>
      <c r="G1" s="3"/>
      <c r="H1" s="3"/>
    </row>
    <row r="2" spans="1:16" ht="15.75" customHeight="1" x14ac:dyDescent="0.2">
      <c r="A2" s="76"/>
      <c r="B2" s="77"/>
      <c r="C2" s="77"/>
      <c r="D2" s="3"/>
      <c r="E2" s="3"/>
      <c r="G2" s="3"/>
      <c r="H2" s="3"/>
    </row>
    <row r="3" spans="1:16" ht="15.75" customHeight="1" x14ac:dyDescent="0.2">
      <c r="A3" s="5" t="s">
        <v>149</v>
      </c>
      <c r="B3" s="78">
        <v>45879</v>
      </c>
      <c r="C3" s="3" t="s">
        <v>150</v>
      </c>
      <c r="F3" s="57"/>
      <c r="H3" s="3"/>
      <c r="N3" s="10"/>
      <c r="O3" s="10"/>
    </row>
    <row r="4" spans="1:16" ht="15.75" customHeight="1" x14ac:dyDescent="0.2">
      <c r="A4" s="5"/>
      <c r="B4" s="106"/>
      <c r="C4" s="3"/>
      <c r="F4" s="57"/>
      <c r="H4" s="3"/>
      <c r="N4" s="10"/>
      <c r="O4" s="10"/>
    </row>
    <row r="5" spans="1:16" ht="15.75" customHeight="1" x14ac:dyDescent="0.2">
      <c r="A5" s="117" t="s">
        <v>152</v>
      </c>
      <c r="B5" s="77">
        <v>2100</v>
      </c>
      <c r="F5" s="57"/>
      <c r="H5" s="3"/>
      <c r="N5" s="10"/>
      <c r="O5" s="10"/>
    </row>
    <row r="6" spans="1:16" ht="15.75" customHeight="1" x14ac:dyDescent="0.2">
      <c r="A6" s="117" t="s">
        <v>120</v>
      </c>
      <c r="B6" s="77">
        <v>2491</v>
      </c>
      <c r="F6" s="57"/>
      <c r="H6" s="3"/>
      <c r="N6" s="10"/>
      <c r="O6" s="10"/>
    </row>
    <row r="7" spans="1:16" ht="15.75" customHeight="1" x14ac:dyDescent="0.2">
      <c r="A7" s="117" t="s">
        <v>0</v>
      </c>
      <c r="B7" s="77">
        <v>4591</v>
      </c>
      <c r="F7" s="57"/>
      <c r="H7" s="3"/>
      <c r="N7" s="10"/>
      <c r="O7" s="10"/>
    </row>
    <row r="8" spans="1:16" ht="15.75" customHeight="1" x14ac:dyDescent="0.2">
      <c r="A8" s="116" t="s">
        <v>115</v>
      </c>
      <c r="B8" s="107">
        <v>5500</v>
      </c>
      <c r="D8" s="107"/>
      <c r="F8" s="57"/>
      <c r="H8" s="3"/>
      <c r="N8" s="10"/>
      <c r="O8" s="10"/>
    </row>
    <row r="9" spans="1:16" ht="15.75" customHeight="1" x14ac:dyDescent="0.2">
      <c r="A9" s="116" t="s">
        <v>116</v>
      </c>
      <c r="B9" s="107">
        <v>1000</v>
      </c>
      <c r="C9" s="116"/>
      <c r="D9" s="107"/>
      <c r="F9" s="57"/>
      <c r="H9" s="3"/>
      <c r="N9" s="10"/>
      <c r="O9" s="10"/>
    </row>
    <row r="10" spans="1:16" ht="15.75" customHeight="1" x14ac:dyDescent="0.2">
      <c r="A10" s="116" t="s">
        <v>117</v>
      </c>
      <c r="B10" s="107">
        <v>91</v>
      </c>
      <c r="C10" s="116"/>
      <c r="D10" s="107"/>
      <c r="F10" s="57"/>
      <c r="H10" s="3"/>
      <c r="N10" s="10"/>
      <c r="O10" s="10"/>
    </row>
    <row r="11" spans="1:16" ht="86.25" customHeight="1" x14ac:dyDescent="0.2">
      <c r="A11" s="116"/>
      <c r="B11" s="3"/>
      <c r="C11" s="3"/>
      <c r="H11" s="3"/>
    </row>
    <row r="12" spans="1:16" ht="31.5" customHeight="1" x14ac:dyDescent="0.2">
      <c r="A12" s="11" t="s">
        <v>131</v>
      </c>
      <c r="B12" s="11" t="s">
        <v>120</v>
      </c>
      <c r="C12" s="11" t="s">
        <v>132</v>
      </c>
      <c r="D12" s="11" t="s">
        <v>133</v>
      </c>
      <c r="E12" s="11" t="s">
        <v>134</v>
      </c>
      <c r="F12" s="11" t="s">
        <v>135</v>
      </c>
      <c r="G12" s="11" t="s">
        <v>136</v>
      </c>
      <c r="H12" s="11" t="s">
        <v>138</v>
      </c>
      <c r="I12" s="11" t="s">
        <v>139</v>
      </c>
      <c r="J12" s="11" t="s">
        <v>140</v>
      </c>
      <c r="K12" s="11" t="s">
        <v>141</v>
      </c>
      <c r="L12" s="11" t="s">
        <v>144</v>
      </c>
      <c r="M12" s="11" t="s">
        <v>143</v>
      </c>
      <c r="N12" s="11" t="s">
        <v>145</v>
      </c>
      <c r="O12" s="11" t="s">
        <v>147</v>
      </c>
      <c r="P12" s="35" t="s">
        <v>146</v>
      </c>
    </row>
    <row r="13" spans="1:16" ht="15.75" customHeight="1" x14ac:dyDescent="0.2">
      <c r="A13" s="79" t="s">
        <v>130</v>
      </c>
      <c r="B13" s="79" t="s">
        <v>34</v>
      </c>
      <c r="C13" s="80">
        <v>45874.458333333336</v>
      </c>
      <c r="D13" s="81"/>
      <c r="E13" s="82">
        <v>1</v>
      </c>
      <c r="F13" s="83">
        <v>4000</v>
      </c>
      <c r="G13" s="91">
        <v>4000</v>
      </c>
      <c r="H13" s="84">
        <v>4250.57</v>
      </c>
      <c r="I13" s="82">
        <v>0.5</v>
      </c>
      <c r="J13" s="83">
        <v>2000</v>
      </c>
      <c r="K13" s="85">
        <v>4000</v>
      </c>
      <c r="L13" s="86">
        <v>0.5</v>
      </c>
      <c r="M13" s="87">
        <v>2125</v>
      </c>
      <c r="N13" s="119">
        <v>125</v>
      </c>
      <c r="O13" s="88">
        <v>3.132124999999996E-2</v>
      </c>
      <c r="P13" s="89" t="s">
        <v>148</v>
      </c>
    </row>
    <row r="14" spans="1:16" ht="15.75" customHeight="1" x14ac:dyDescent="0.2">
      <c r="A14" s="79" t="s">
        <v>130</v>
      </c>
      <c r="B14" s="90" t="s">
        <v>35</v>
      </c>
      <c r="C14" s="80">
        <v>45875.458333333336</v>
      </c>
      <c r="D14" s="80"/>
      <c r="E14" s="82">
        <v>2</v>
      </c>
      <c r="F14" s="83">
        <v>400</v>
      </c>
      <c r="G14" s="91">
        <v>200</v>
      </c>
      <c r="H14" s="85">
        <v>182.66</v>
      </c>
      <c r="I14" s="86">
        <v>0</v>
      </c>
      <c r="J14" s="87">
        <v>0</v>
      </c>
      <c r="K14" s="91"/>
      <c r="L14" s="82">
        <v>2</v>
      </c>
      <c r="M14" s="92">
        <v>365</v>
      </c>
      <c r="N14" s="120">
        <v>-35</v>
      </c>
      <c r="O14" s="118">
        <v>-8.6700000000000013E-2</v>
      </c>
      <c r="P14" s="89" t="s">
        <v>148</v>
      </c>
    </row>
    <row r="15" spans="1:16" ht="15" customHeight="1" x14ac:dyDescent="0.2">
      <c r="A15" s="93"/>
      <c r="B15" s="93"/>
      <c r="C15" s="94"/>
      <c r="D15" s="94"/>
      <c r="E15" s="82"/>
      <c r="F15" s="83"/>
      <c r="G15" s="83"/>
      <c r="H15" s="85"/>
      <c r="I15" s="82"/>
      <c r="J15" s="83"/>
      <c r="K15" s="85"/>
      <c r="L15" s="82"/>
      <c r="M15" s="83"/>
      <c r="N15" s="104"/>
      <c r="O15" s="105"/>
      <c r="P15" s="97"/>
    </row>
    <row r="16" spans="1:16" ht="15.75" customHeight="1" x14ac:dyDescent="0.2">
      <c r="A16" s="98"/>
      <c r="B16" s="98"/>
      <c r="C16" s="94"/>
      <c r="D16" s="94"/>
      <c r="E16" s="82"/>
      <c r="F16" s="83"/>
      <c r="G16" s="87"/>
      <c r="H16" s="99"/>
      <c r="I16" s="82"/>
      <c r="J16" s="83"/>
      <c r="K16" s="85"/>
      <c r="L16" s="82"/>
      <c r="M16" s="83"/>
      <c r="N16" s="95"/>
      <c r="O16" s="96"/>
      <c r="P16" s="97"/>
    </row>
    <row r="17" spans="1:16" ht="15.75" customHeight="1" x14ac:dyDescent="0.2">
      <c r="A17" s="98"/>
      <c r="B17" s="98"/>
      <c r="C17" s="93"/>
      <c r="D17" s="93"/>
      <c r="E17" s="93"/>
      <c r="F17" s="93"/>
      <c r="G17" s="100"/>
      <c r="H17" s="101"/>
      <c r="I17" s="93"/>
      <c r="J17" s="93"/>
      <c r="K17" s="93"/>
      <c r="L17" s="93"/>
      <c r="M17" s="93"/>
      <c r="N17" s="93"/>
      <c r="O17" s="93"/>
      <c r="P17" s="97"/>
    </row>
    <row r="18" spans="1:16" ht="15.75" customHeight="1" x14ac:dyDescent="0.2">
      <c r="A18" s="98"/>
      <c r="B18" s="98"/>
      <c r="C18" s="93"/>
      <c r="D18" s="101"/>
      <c r="E18" s="101"/>
      <c r="F18" s="93"/>
      <c r="G18" s="100"/>
      <c r="H18" s="101"/>
      <c r="I18" s="93"/>
      <c r="J18" s="101"/>
      <c r="K18" s="93"/>
      <c r="L18" s="93"/>
      <c r="M18" s="93"/>
      <c r="N18" s="93"/>
      <c r="O18" s="93"/>
      <c r="P18" s="97"/>
    </row>
    <row r="19" spans="1:16" ht="15.75" customHeight="1" x14ac:dyDescent="0.2">
      <c r="A19" s="98"/>
      <c r="B19" s="98"/>
      <c r="C19" s="93"/>
      <c r="D19" s="93"/>
      <c r="E19" s="93"/>
      <c r="F19" s="93"/>
      <c r="G19" s="100"/>
      <c r="H19" s="101"/>
      <c r="I19" s="93"/>
      <c r="J19" s="93"/>
      <c r="K19" s="93"/>
      <c r="L19" s="93"/>
      <c r="M19" s="93"/>
      <c r="N19" s="93"/>
      <c r="O19" s="93"/>
      <c r="P19" s="97"/>
    </row>
    <row r="20" spans="1:16" ht="15.75" customHeight="1" x14ac:dyDescent="0.2">
      <c r="A20" s="98"/>
      <c r="B20" s="98"/>
      <c r="C20" s="93"/>
      <c r="D20" s="93"/>
      <c r="E20" s="101"/>
      <c r="F20" s="93"/>
      <c r="G20" s="100"/>
      <c r="H20" s="101"/>
      <c r="I20" s="93"/>
      <c r="J20" s="93"/>
      <c r="K20" s="93"/>
      <c r="L20" s="93"/>
      <c r="M20" s="93"/>
      <c r="N20" s="93"/>
      <c r="O20" s="93"/>
      <c r="P20" s="97"/>
    </row>
    <row r="21" spans="1:16" ht="15.75" customHeight="1" x14ac:dyDescent="0.2">
      <c r="A21" s="98"/>
      <c r="B21" s="98"/>
      <c r="C21" s="93"/>
      <c r="D21" s="101"/>
      <c r="E21" s="93"/>
      <c r="F21" s="93"/>
      <c r="G21" s="102"/>
      <c r="H21" s="93"/>
      <c r="I21" s="93"/>
      <c r="J21" s="101"/>
      <c r="K21" s="93"/>
      <c r="L21" s="93"/>
      <c r="M21" s="93"/>
      <c r="N21" s="93"/>
      <c r="O21" s="93"/>
      <c r="P21" s="97"/>
    </row>
    <row r="22" spans="1:16" ht="15.75" customHeight="1" x14ac:dyDescent="0.2">
      <c r="A22" s="98"/>
      <c r="B22" s="98"/>
      <c r="C22" s="93"/>
      <c r="D22" s="93"/>
      <c r="E22" s="93"/>
      <c r="F22" s="93"/>
      <c r="G22" s="100"/>
      <c r="H22" s="93"/>
      <c r="I22" s="93"/>
      <c r="J22" s="93"/>
      <c r="K22" s="93"/>
      <c r="L22" s="93"/>
      <c r="M22" s="93"/>
      <c r="N22" s="93"/>
      <c r="O22" s="93"/>
      <c r="P22" s="97"/>
    </row>
    <row r="23" spans="1:16" ht="15.75" customHeight="1" x14ac:dyDescent="0.2">
      <c r="A23" s="98"/>
      <c r="B23" s="98"/>
      <c r="C23" s="93"/>
      <c r="D23" s="93"/>
      <c r="E23" s="93"/>
      <c r="F23" s="93"/>
      <c r="G23" s="100"/>
      <c r="H23" s="93"/>
      <c r="I23" s="93"/>
      <c r="J23" s="93"/>
      <c r="K23" s="93"/>
      <c r="L23" s="93"/>
      <c r="M23" s="93"/>
      <c r="N23" s="93"/>
      <c r="O23" s="93"/>
      <c r="P23" s="97"/>
    </row>
    <row r="24" spans="1:16" ht="15.75" customHeight="1" x14ac:dyDescent="0.2">
      <c r="A24" s="98"/>
      <c r="B24" s="98"/>
      <c r="C24" s="93"/>
      <c r="D24" s="93"/>
      <c r="E24" s="93"/>
      <c r="F24" s="100"/>
      <c r="G24" s="100"/>
      <c r="H24" s="93"/>
      <c r="I24" s="93"/>
      <c r="J24" s="93"/>
      <c r="K24" s="93"/>
      <c r="L24" s="93"/>
      <c r="M24" s="93"/>
      <c r="N24" s="93"/>
      <c r="O24" s="93"/>
      <c r="P24" s="97"/>
    </row>
    <row r="25" spans="1:16" ht="15.75" customHeight="1" x14ac:dyDescent="0.2">
      <c r="A25" s="98"/>
      <c r="B25" s="103"/>
      <c r="C25" s="93"/>
      <c r="D25" s="93"/>
      <c r="E25" s="93"/>
      <c r="F25" s="100"/>
      <c r="G25" s="100"/>
      <c r="H25" s="93"/>
      <c r="I25" s="93"/>
      <c r="J25" s="93"/>
      <c r="K25" s="93"/>
      <c r="L25" s="93"/>
      <c r="M25" s="93"/>
      <c r="N25" s="93"/>
      <c r="O25" s="93"/>
      <c r="P25" s="97"/>
    </row>
    <row r="26" spans="1:16" ht="15.75" customHeight="1" x14ac:dyDescent="0.2">
      <c r="A26" s="14"/>
    </row>
    <row r="27" spans="1:16" ht="15.75" customHeight="1" x14ac:dyDescent="0.2">
      <c r="A27" s="14"/>
      <c r="G27" s="57"/>
    </row>
    <row r="28" spans="1:16" ht="15.75" customHeight="1" x14ac:dyDescent="0.2">
      <c r="A28" s="14"/>
    </row>
    <row r="29" spans="1:16" ht="15.75" customHeight="1" x14ac:dyDescent="0.2">
      <c r="A29" s="14"/>
    </row>
    <row r="30" spans="1:16" ht="15.75" customHeight="1" x14ac:dyDescent="0.2">
      <c r="A30" s="14"/>
    </row>
    <row r="31" spans="1:16" ht="15.75" customHeight="1" x14ac:dyDescent="0.2">
      <c r="A31" s="14"/>
      <c r="F31" s="37"/>
      <c r="J31" s="37"/>
    </row>
    <row r="32" spans="1:16" ht="15.75" customHeight="1" x14ac:dyDescent="0.2">
      <c r="F32" s="64"/>
      <c r="J32" s="64"/>
      <c r="M32" s="64"/>
    </row>
    <row r="33" spans="3:13" ht="15.75" customHeight="1" x14ac:dyDescent="0.2">
      <c r="F33" s="57"/>
      <c r="J33" s="57"/>
      <c r="M33" s="57"/>
    </row>
    <row r="34" spans="3:13" ht="15.75" customHeight="1" x14ac:dyDescent="0.2">
      <c r="F34" s="57"/>
      <c r="J34" s="57"/>
      <c r="M34" s="57"/>
    </row>
    <row r="35" spans="3:13" ht="15.75" customHeight="1" x14ac:dyDescent="0.2">
      <c r="C35" s="49"/>
      <c r="F35" s="64"/>
      <c r="J35" s="64"/>
      <c r="M35" s="64"/>
    </row>
    <row r="36" spans="3:13" ht="15.75" customHeight="1" x14ac:dyDescent="0.2">
      <c r="C36" s="49"/>
      <c r="F36" s="57"/>
      <c r="J36" s="63"/>
      <c r="M36" s="57"/>
    </row>
    <row r="37" spans="3:13" ht="15.75" customHeight="1" x14ac:dyDescent="0.2">
      <c r="C37" s="49"/>
      <c r="F37" s="57"/>
      <c r="J37" s="63"/>
      <c r="M37" s="57"/>
    </row>
    <row r="38" spans="3:13" ht="15.75" customHeight="1" x14ac:dyDescent="0.2">
      <c r="C38" s="49"/>
      <c r="F38" s="57"/>
      <c r="J38" s="63"/>
      <c r="M38" s="57"/>
    </row>
    <row r="39" spans="3:13" ht="15.75" customHeight="1" x14ac:dyDescent="0.2">
      <c r="C39" s="49"/>
      <c r="F39" s="64"/>
      <c r="J39" s="65"/>
      <c r="M39" s="64"/>
    </row>
    <row r="40" spans="3:13" ht="15.75" customHeight="1" x14ac:dyDescent="0.2">
      <c r="C40" s="49"/>
      <c r="F40" s="57"/>
      <c r="J40" s="63"/>
      <c r="M40" s="57"/>
    </row>
    <row r="41" spans="3:13" ht="15.75" customHeight="1" x14ac:dyDescent="0.2">
      <c r="C41" s="14"/>
      <c r="F41" s="57"/>
      <c r="J41" s="63"/>
      <c r="M41" s="57"/>
    </row>
    <row r="42" spans="3:13" ht="15.75" customHeight="1" x14ac:dyDescent="0.2">
      <c r="C42" s="14"/>
      <c r="D42" s="36"/>
      <c r="F42" s="57"/>
      <c r="J42" s="63"/>
      <c r="M42" s="57"/>
    </row>
    <row r="43" spans="3:13" ht="15.75" customHeight="1" x14ac:dyDescent="0.2">
      <c r="C43" s="14"/>
      <c r="D43" s="36"/>
      <c r="F43" s="57"/>
      <c r="J43" s="63"/>
      <c r="M43" s="57"/>
    </row>
    <row r="44" spans="3:13" ht="15.75" customHeight="1" x14ac:dyDescent="0.2">
      <c r="C44" s="14"/>
      <c r="D44" s="36"/>
      <c r="F44" s="57"/>
      <c r="J44" s="63"/>
      <c r="M44" s="57"/>
    </row>
    <row r="45" spans="3:13" ht="15.75" customHeight="1" x14ac:dyDescent="0.2">
      <c r="J45" s="63"/>
      <c r="M45" s="57"/>
    </row>
    <row r="46" spans="3:13" ht="15.75" customHeight="1" x14ac:dyDescent="0.2">
      <c r="J46" s="63"/>
      <c r="M46" s="63"/>
    </row>
    <row r="47" spans="3:13" ht="15.75" customHeight="1" x14ac:dyDescent="0.2">
      <c r="J47" s="63"/>
      <c r="M47" s="63"/>
    </row>
    <row r="48" spans="3:13" ht="15.75" customHeight="1" x14ac:dyDescent="0.2">
      <c r="J48" s="63"/>
      <c r="M48" s="63"/>
    </row>
    <row r="49" spans="6:13" ht="15.75" customHeight="1" x14ac:dyDescent="0.2">
      <c r="F49" s="57"/>
      <c r="J49" s="63"/>
      <c r="M49" s="63"/>
    </row>
    <row r="50" spans="6:13" ht="15.75" customHeight="1" x14ac:dyDescent="0.2">
      <c r="F50" s="57"/>
      <c r="M50" s="63"/>
    </row>
    <row r="51" spans="6:13" ht="15.75" customHeight="1" x14ac:dyDescent="0.2">
      <c r="M51" s="63"/>
    </row>
    <row r="52" spans="6:13" ht="15.75" customHeight="1" x14ac:dyDescent="0.2">
      <c r="M52" s="63"/>
    </row>
    <row r="53" spans="6:13" ht="15.75" customHeight="1" x14ac:dyDescent="0.2">
      <c r="M53" s="63"/>
    </row>
    <row r="54" spans="6:13" ht="15.75" customHeight="1" x14ac:dyDescent="0.2">
      <c r="M54" s="63"/>
    </row>
    <row r="55" spans="6:13" ht="15.75" customHeight="1" x14ac:dyDescent="0.2">
      <c r="M55" s="63"/>
    </row>
    <row r="56" spans="6:13" ht="15.75" customHeight="1" x14ac:dyDescent="0.2">
      <c r="M56" s="63"/>
    </row>
    <row r="57" spans="6:13" ht="15.75" customHeight="1" x14ac:dyDescent="0.2">
      <c r="M57" s="63"/>
    </row>
    <row r="58" spans="6:13" ht="15.75" customHeight="1" x14ac:dyDescent="0.2">
      <c r="M58" s="63"/>
    </row>
    <row r="59" spans="6:13" ht="15.75" customHeight="1" x14ac:dyDescent="0.2"/>
    <row r="60" spans="6:13" ht="15.75" customHeight="1" x14ac:dyDescent="0.2"/>
    <row r="61" spans="6:13" ht="15.75" customHeight="1" x14ac:dyDescent="0.2"/>
    <row r="62" spans="6:13" ht="15.75" customHeight="1" x14ac:dyDescent="0.2"/>
    <row r="63" spans="6:13" ht="15.75" customHeight="1" x14ac:dyDescent="0.2"/>
    <row r="64" spans="6:1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</sheetData>
  <autoFilter ref="A12:D15" xr:uid="{00000000-0009-0000-0000-000001000000}"/>
  <dataValidations disablePrompts="1" count="1">
    <dataValidation type="list" allowBlank="1" sqref="A13:A14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3</xdr:col>
                    <xdr:colOff>409575</xdr:colOff>
                    <xdr:row>0</xdr:row>
                    <xdr:rowOff>142875</xdr:rowOff>
                  </from>
                  <to>
                    <xdr:col>5</xdr:col>
                    <xdr:colOff>66675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6</xdr:col>
                    <xdr:colOff>323850</xdr:colOff>
                    <xdr:row>0</xdr:row>
                    <xdr:rowOff>161925</xdr:rowOff>
                  </from>
                  <to>
                    <xdr:col>8</xdr:col>
                    <xdr:colOff>200025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3" customWidth="1"/>
    <col min="18" max="18" width="25.5703125" customWidth="1"/>
    <col min="19" max="19" width="11.5703125" customWidth="1"/>
  </cols>
  <sheetData>
    <row r="1" spans="1:19" ht="18" x14ac:dyDescent="0.25">
      <c r="A1" s="1" t="s">
        <v>50</v>
      </c>
      <c r="F1" s="3" t="s">
        <v>40</v>
      </c>
      <c r="G1">
        <v>26000</v>
      </c>
    </row>
    <row r="2" spans="1:19" ht="15.75" customHeight="1" x14ac:dyDescent="0.2">
      <c r="A2" s="6" t="s">
        <v>11</v>
      </c>
      <c r="B2" s="47" t="s">
        <v>39</v>
      </c>
      <c r="C2" s="47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107</v>
      </c>
      <c r="B4" s="48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2"/>
      <c r="O7" s="46">
        <f>SUMIF(A9:A81,"Mở",O9:O81)</f>
        <v>1039.7656820000002</v>
      </c>
      <c r="P7" s="17">
        <f>O7/SUMIF(A9:A81,"Mở",F9:F81)</f>
        <v>0.31001782467522787</v>
      </c>
      <c r="Q7" s="34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3" t="s">
        <v>29</v>
      </c>
      <c r="M8" s="11" t="s">
        <v>23</v>
      </c>
      <c r="N8" s="43" t="s">
        <v>60</v>
      </c>
      <c r="O8" s="11" t="s">
        <v>24</v>
      </c>
      <c r="P8" s="11" t="s">
        <v>25</v>
      </c>
      <c r="Q8" s="35" t="s">
        <v>59</v>
      </c>
    </row>
    <row r="9" spans="1:19" ht="15.75" customHeight="1" x14ac:dyDescent="0.2">
      <c r="A9" s="13" t="s">
        <v>26</v>
      </c>
      <c r="B9" s="14" t="s">
        <v>54</v>
      </c>
      <c r="C9" s="14">
        <v>45396</v>
      </c>
      <c r="D9" s="62">
        <v>45676</v>
      </c>
      <c r="E9">
        <f>0.00031+0.00157+0.00615+0.00667+0.00345+0.00555</f>
        <v>2.3699999999999999E-2</v>
      </c>
      <c r="F9">
        <f>20+94.2+400+400+190+300</f>
        <v>1404.2</v>
      </c>
      <c r="G9" s="39">
        <f>F9/E9</f>
        <v>59248.945147679333</v>
      </c>
      <c r="H9" s="36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6">
        <f t="shared" ref="L9" si="0">E9-I9</f>
        <v>0</v>
      </c>
      <c r="M9" s="54">
        <f t="shared" ref="M9" si="1">(E9-I9)*H9</f>
        <v>0</v>
      </c>
      <c r="N9" s="55">
        <f t="shared" ref="N9:N19" si="2">M9/SUM($M$9:$M$29)</f>
        <v>0</v>
      </c>
      <c r="O9" s="39">
        <f t="shared" ref="O9" si="3">(J9+M9)-F9</f>
        <v>718.49999999999977</v>
      </c>
      <c r="P9" s="56">
        <f t="shared" ref="P9" si="4">O9/F9</f>
        <v>0.51167924797037445</v>
      </c>
      <c r="Q9" s="58" t="s">
        <v>78</v>
      </c>
    </row>
    <row r="10" spans="1:19" ht="15.75" customHeight="1" x14ac:dyDescent="0.2">
      <c r="A10" s="13" t="s">
        <v>33</v>
      </c>
      <c r="B10" s="68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9">
        <f>F10/E10</f>
        <v>2594.9982136477311</v>
      </c>
      <c r="H10">
        <v>4537</v>
      </c>
      <c r="I10" s="36">
        <v>0.01</v>
      </c>
      <c r="J10" s="36">
        <v>40.200000000000003</v>
      </c>
      <c r="K10" s="26">
        <f>IF(I10&gt;0,J10/I10,"-")</f>
        <v>4020</v>
      </c>
      <c r="L10">
        <f>E10-I10</f>
        <v>0.54980000000000007</v>
      </c>
      <c r="M10" s="50">
        <f>(E10-I10)*H10</f>
        <v>2494.4426000000003</v>
      </c>
      <c r="N10" s="55">
        <f t="shared" si="2"/>
        <v>0.56362893697663785</v>
      </c>
      <c r="O10" s="45">
        <f>(J10+M10)-F10</f>
        <v>1081.9626000000001</v>
      </c>
      <c r="P10" s="17">
        <f>O10/F10</f>
        <v>0.74480449927031422</v>
      </c>
      <c r="Q10" s="58" t="s">
        <v>61</v>
      </c>
    </row>
    <row r="11" spans="1:19" ht="15.75" customHeight="1" x14ac:dyDescent="0.2">
      <c r="A11" s="13" t="s">
        <v>33</v>
      </c>
      <c r="B11" s="49" t="s">
        <v>35</v>
      </c>
      <c r="C11" s="14">
        <v>45885</v>
      </c>
      <c r="E11">
        <f>2.316</f>
        <v>2.3159999999999998</v>
      </c>
      <c r="F11">
        <v>435.57</v>
      </c>
      <c r="G11" s="39">
        <f t="shared" ref="G11:G28" si="5">F11/E11</f>
        <v>188.06994818652851</v>
      </c>
      <c r="H11" s="36">
        <v>191.81</v>
      </c>
      <c r="I11" s="36">
        <v>0</v>
      </c>
      <c r="J11" s="36">
        <v>0</v>
      </c>
      <c r="K11" s="26" t="str">
        <f>IF(I11&gt;0,J11/I11,"-")</f>
        <v>-</v>
      </c>
      <c r="L11">
        <f t="shared" ref="L11:L13" si="6">E11-I11</f>
        <v>2.3159999999999998</v>
      </c>
      <c r="M11" s="50">
        <f t="shared" ref="M11:M13" si="7">(E11-I11)*H11</f>
        <v>444.23195999999996</v>
      </c>
      <c r="N11" s="55">
        <f t="shared" si="2"/>
        <v>0.10037592662418782</v>
      </c>
      <c r="O11" s="45">
        <f t="shared" ref="O11:O13" si="8">(J11+M11)-F11</f>
        <v>8.661959999999965</v>
      </c>
      <c r="P11" s="17">
        <f t="shared" ref="P11:P13" si="9">O11/F11</f>
        <v>1.9886493560162467E-2</v>
      </c>
      <c r="Q11" s="58" t="s">
        <v>79</v>
      </c>
    </row>
    <row r="12" spans="1:19" ht="15.75" customHeight="1" x14ac:dyDescent="0.2">
      <c r="A12" s="13" t="s">
        <v>33</v>
      </c>
      <c r="B12" s="68" t="s">
        <v>85</v>
      </c>
      <c r="C12" s="14">
        <v>45885</v>
      </c>
      <c r="E12">
        <f>0.5895</f>
        <v>0.58950000000000002</v>
      </c>
      <c r="F12">
        <v>492.95</v>
      </c>
      <c r="G12" s="39">
        <f t="shared" si="5"/>
        <v>836.21713316369801</v>
      </c>
      <c r="H12" s="36">
        <v>862.42</v>
      </c>
      <c r="I12" s="36"/>
      <c r="J12" s="36"/>
      <c r="K12" s="26" t="str">
        <f>IF(I12&gt;0,J12/I12,"-")</f>
        <v>-</v>
      </c>
      <c r="L12">
        <f t="shared" si="6"/>
        <v>0.58950000000000002</v>
      </c>
      <c r="M12" s="50">
        <f t="shared" si="7"/>
        <v>508.39659</v>
      </c>
      <c r="N12" s="55">
        <f t="shared" si="2"/>
        <v>0.11487417252425354</v>
      </c>
      <c r="O12" s="45">
        <f t="shared" si="8"/>
        <v>15.446590000000015</v>
      </c>
      <c r="P12" s="17">
        <f t="shared" si="9"/>
        <v>3.133500355005582E-2</v>
      </c>
      <c r="Q12" s="58" t="s">
        <v>61</v>
      </c>
      <c r="R12" s="58"/>
    </row>
    <row r="13" spans="1:19" ht="15.75" customHeight="1" x14ac:dyDescent="0.2">
      <c r="A13" s="13" t="s">
        <v>33</v>
      </c>
      <c r="B13" s="68" t="s">
        <v>37</v>
      </c>
      <c r="C13" s="14">
        <v>45885</v>
      </c>
      <c r="E13">
        <f>408.8</f>
        <v>408.8</v>
      </c>
      <c r="F13">
        <v>394.09</v>
      </c>
      <c r="G13" s="39">
        <f t="shared" si="5"/>
        <v>0.96401663405088056</v>
      </c>
      <c r="H13" s="36">
        <v>0.95330000000000004</v>
      </c>
      <c r="K13" s="26" t="str">
        <f>IF(I13&gt;0,J13/I13,"-")</f>
        <v>-</v>
      </c>
      <c r="L13">
        <f t="shared" si="6"/>
        <v>408.8</v>
      </c>
      <c r="M13" s="50">
        <f t="shared" si="7"/>
        <v>389.70904000000002</v>
      </c>
      <c r="N13" s="55">
        <f t="shared" si="2"/>
        <v>8.8056262327056975E-2</v>
      </c>
      <c r="O13" s="45">
        <f t="shared" si="8"/>
        <v>-4.3809599999999591</v>
      </c>
      <c r="P13" s="17">
        <f t="shared" si="9"/>
        <v>-1.1116648481311272E-2</v>
      </c>
      <c r="Q13" s="58" t="s">
        <v>61</v>
      </c>
    </row>
    <row r="14" spans="1:19" ht="15" customHeight="1" x14ac:dyDescent="0.2">
      <c r="A14" s="13" t="s">
        <v>33</v>
      </c>
      <c r="B14" s="68" t="s">
        <v>106</v>
      </c>
      <c r="C14" s="14">
        <v>45885</v>
      </c>
      <c r="E14">
        <v>25.1</v>
      </c>
      <c r="F14">
        <v>92.82</v>
      </c>
      <c r="G14" s="39">
        <f t="shared" si="5"/>
        <v>3.6980079681274898</v>
      </c>
      <c r="H14" s="36">
        <v>3.8119999999999998</v>
      </c>
      <c r="K14" s="26" t="str">
        <f>IF(I14&gt;0,J14/I14,"-")</f>
        <v>-</v>
      </c>
      <c r="L14">
        <f t="shared" ref="L14" si="10">E14-I14</f>
        <v>25.1</v>
      </c>
      <c r="M14" s="50">
        <f t="shared" ref="M14" si="11">(E14-I14)*H14</f>
        <v>95.681200000000004</v>
      </c>
      <c r="N14" s="55">
        <f t="shared" si="2"/>
        <v>2.1619536582901961E-2</v>
      </c>
      <c r="O14" s="45">
        <f t="shared" ref="O14" si="12">(J14+M14)-F14</f>
        <v>2.8612000000000108</v>
      </c>
      <c r="P14" s="17">
        <f t="shared" ref="P14" si="13">O14/F14</f>
        <v>3.0825253178194473E-2</v>
      </c>
      <c r="Q14" s="58" t="s">
        <v>61</v>
      </c>
    </row>
    <row r="15" spans="1:19" ht="15" customHeight="1" x14ac:dyDescent="0.2">
      <c r="A15" s="13" t="s">
        <v>33</v>
      </c>
      <c r="B15" s="67" t="s">
        <v>90</v>
      </c>
      <c r="C15" s="14"/>
      <c r="E15">
        <v>2059</v>
      </c>
      <c r="F15">
        <v>50.51</v>
      </c>
      <c r="G15" s="39">
        <f t="shared" si="5"/>
        <v>2.4531325886352599E-2</v>
      </c>
      <c r="H15" s="36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50">
        <f t="shared" ref="M15:M17" si="16">(E15-I15)*H15</f>
        <v>51.372050000000002</v>
      </c>
      <c r="N15" s="55">
        <f t="shared" si="2"/>
        <v>1.1607713054535987E-2</v>
      </c>
      <c r="O15" s="45">
        <f t="shared" ref="O15:O17" si="17">(J15+M15)-F15</f>
        <v>0.86205000000000354</v>
      </c>
      <c r="P15" s="17">
        <f t="shared" ref="P15:P17" si="18">O15/F15</f>
        <v>1.7066917442090747E-2</v>
      </c>
      <c r="Q15" s="58" t="s">
        <v>61</v>
      </c>
    </row>
    <row r="16" spans="1:19" ht="15" customHeight="1" x14ac:dyDescent="0.2">
      <c r="A16" s="13" t="s">
        <v>33</v>
      </c>
      <c r="B16" s="67" t="s">
        <v>88</v>
      </c>
      <c r="C16" s="14"/>
      <c r="E16">
        <v>146.86000000000001</v>
      </c>
      <c r="F16">
        <v>37.49</v>
      </c>
      <c r="G16" s="39">
        <f t="shared" si="5"/>
        <v>0.25527713468609559</v>
      </c>
      <c r="H16" s="36">
        <v>0.26519999999999999</v>
      </c>
      <c r="K16" s="26" t="str">
        <f t="shared" si="14"/>
        <v>-</v>
      </c>
      <c r="L16">
        <f t="shared" si="15"/>
        <v>146.86000000000001</v>
      </c>
      <c r="M16" s="50">
        <f t="shared" si="16"/>
        <v>38.947272000000005</v>
      </c>
      <c r="N16" s="55">
        <f t="shared" si="2"/>
        <v>8.8002864910581517E-3</v>
      </c>
      <c r="O16" s="45">
        <f t="shared" si="17"/>
        <v>1.4572720000000032</v>
      </c>
      <c r="P16" s="17">
        <f t="shared" si="18"/>
        <v>3.8870952253934464E-2</v>
      </c>
      <c r="Q16" s="58" t="s">
        <v>61</v>
      </c>
    </row>
    <row r="17" spans="1:18" ht="15" customHeight="1" x14ac:dyDescent="0.2">
      <c r="A17" s="13" t="s">
        <v>33</v>
      </c>
      <c r="B17" s="67" t="s">
        <v>87</v>
      </c>
      <c r="C17" s="14"/>
      <c r="E17">
        <v>9.89</v>
      </c>
      <c r="F17">
        <v>27.08</v>
      </c>
      <c r="G17" s="39">
        <f t="shared" si="5"/>
        <v>2.7381193124368046</v>
      </c>
      <c r="H17" s="36">
        <v>2.7610000000000001</v>
      </c>
      <c r="K17" s="26" t="str">
        <f t="shared" si="14"/>
        <v>-</v>
      </c>
      <c r="L17">
        <f t="shared" si="15"/>
        <v>9.89</v>
      </c>
      <c r="M17" s="50">
        <f t="shared" si="16"/>
        <v>27.306290000000004</v>
      </c>
      <c r="N17" s="55">
        <f t="shared" si="2"/>
        <v>6.1699616601623933E-3</v>
      </c>
      <c r="O17" s="45">
        <f t="shared" si="17"/>
        <v>0.22629000000000588</v>
      </c>
      <c r="P17" s="17">
        <f t="shared" si="18"/>
        <v>8.3563515509603361E-3</v>
      </c>
      <c r="Q17" s="58" t="s">
        <v>61</v>
      </c>
    </row>
    <row r="18" spans="1:18" ht="15" customHeight="1" x14ac:dyDescent="0.2">
      <c r="A18" s="13"/>
      <c r="B18" s="68" t="s">
        <v>118</v>
      </c>
      <c r="C18" s="14">
        <v>45885</v>
      </c>
      <c r="E18">
        <v>76.028000000000006</v>
      </c>
      <c r="F18">
        <v>73.19</v>
      </c>
      <c r="G18" s="39">
        <f t="shared" ref="G18" si="19">F18/E18</f>
        <v>0.96267164728784127</v>
      </c>
      <c r="H18" s="36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50">
        <f t="shared" ref="M18" si="22">(E18-I18)*H18</f>
        <v>72.226600000000005</v>
      </c>
      <c r="N18" s="55">
        <f t="shared" si="2"/>
        <v>1.6319879150330754E-2</v>
      </c>
      <c r="O18" s="45">
        <f t="shared" ref="O18" si="23">(J18+M18)-F18</f>
        <v>-0.96339999999999293</v>
      </c>
      <c r="P18" s="17">
        <f t="shared" ref="P18" si="24">O18/F18</f>
        <v>-1.3163000409891965E-2</v>
      </c>
      <c r="Q18" s="58" t="s">
        <v>79</v>
      </c>
    </row>
    <row r="19" spans="1:18" ht="15" customHeight="1" x14ac:dyDescent="0.2">
      <c r="A19" s="13" t="s">
        <v>33</v>
      </c>
      <c r="B19" s="68" t="s">
        <v>84</v>
      </c>
      <c r="C19" s="14"/>
      <c r="E19">
        <v>93.75</v>
      </c>
      <c r="F19">
        <v>93.13</v>
      </c>
      <c r="G19" s="39">
        <f t="shared" si="5"/>
        <v>0.99338666666666664</v>
      </c>
      <c r="H19" s="36">
        <v>1.008</v>
      </c>
      <c r="K19" s="26" t="str">
        <f t="shared" si="14"/>
        <v>-</v>
      </c>
      <c r="L19" s="36">
        <f t="shared" si="15"/>
        <v>93.75</v>
      </c>
      <c r="M19" s="50">
        <f t="shared" ref="M19:M25" si="25">(E19-I19)*H19</f>
        <v>94.5</v>
      </c>
      <c r="N19" s="55">
        <f t="shared" si="2"/>
        <v>2.1352639882069153E-2</v>
      </c>
      <c r="O19" s="45">
        <f t="shared" ref="O19:O25" si="26">(J19+M19)-F19</f>
        <v>1.3700000000000045</v>
      </c>
      <c r="P19" s="17">
        <f t="shared" ref="P19:P25" si="27">O19/F19</f>
        <v>1.4710619564050302E-2</v>
      </c>
      <c r="Q19" s="58" t="s">
        <v>79</v>
      </c>
    </row>
    <row r="20" spans="1:18" ht="15" customHeight="1" x14ac:dyDescent="0.2">
      <c r="A20" s="13"/>
      <c r="B20" s="68"/>
      <c r="C20" s="14"/>
      <c r="G20" s="39"/>
      <c r="H20" s="36"/>
      <c r="K20" s="26"/>
      <c r="L20" s="36"/>
      <c r="M20" s="50"/>
      <c r="N20" s="55"/>
      <c r="O20" s="45"/>
      <c r="P20" s="17"/>
      <c r="Q20" s="58"/>
    </row>
    <row r="21" spans="1:18" ht="15" customHeight="1" x14ac:dyDescent="0.2">
      <c r="A21" s="13" t="s">
        <v>33</v>
      </c>
      <c r="B21" s="68" t="s">
        <v>95</v>
      </c>
      <c r="C21" s="14"/>
      <c r="E21">
        <v>2.4990000000000001</v>
      </c>
      <c r="F21">
        <v>54.9</v>
      </c>
      <c r="G21" s="39">
        <f t="shared" si="5"/>
        <v>21.968787515005999</v>
      </c>
      <c r="H21" s="36">
        <v>24.56</v>
      </c>
      <c r="K21" s="26" t="str">
        <f t="shared" si="14"/>
        <v>-</v>
      </c>
      <c r="L21" s="36">
        <f t="shared" si="15"/>
        <v>2.4990000000000001</v>
      </c>
      <c r="M21" s="50">
        <f t="shared" si="25"/>
        <v>61.375439999999998</v>
      </c>
      <c r="N21" s="55">
        <f>M21/SUM($M$9:$M$29)</f>
        <v>1.3868017649984575E-2</v>
      </c>
      <c r="O21" s="45">
        <f t="shared" si="26"/>
        <v>6.475439999999999</v>
      </c>
      <c r="P21" s="17">
        <f t="shared" si="27"/>
        <v>0.11794972677595626</v>
      </c>
      <c r="Q21" s="58" t="s">
        <v>79</v>
      </c>
    </row>
    <row r="22" spans="1:18" ht="15" customHeight="1" x14ac:dyDescent="0.2">
      <c r="A22" s="13" t="s">
        <v>33</v>
      </c>
      <c r="B22" s="68" t="s">
        <v>93</v>
      </c>
      <c r="C22" s="14"/>
      <c r="E22">
        <v>3.82</v>
      </c>
      <c r="F22">
        <v>41.51</v>
      </c>
      <c r="G22" s="39">
        <f t="shared" si="5"/>
        <v>10.866492146596858</v>
      </c>
      <c r="H22" s="36">
        <v>11.151999999999999</v>
      </c>
      <c r="K22" s="26" t="str">
        <f t="shared" si="14"/>
        <v>-</v>
      </c>
      <c r="L22" s="36">
        <f t="shared" si="15"/>
        <v>3.82</v>
      </c>
      <c r="M22" s="50">
        <f t="shared" si="25"/>
        <v>42.600639999999999</v>
      </c>
      <c r="N22" s="55">
        <f>M22/SUM($M$9:$M$29)</f>
        <v>9.6257790969912216E-3</v>
      </c>
      <c r="O22" s="45">
        <f t="shared" si="26"/>
        <v>1.0906400000000005</v>
      </c>
      <c r="P22" s="17">
        <f t="shared" si="27"/>
        <v>2.6274150807034463E-2</v>
      </c>
      <c r="Q22" s="58" t="s">
        <v>79</v>
      </c>
    </row>
    <row r="23" spans="1:18" ht="15" customHeight="1" x14ac:dyDescent="0.2">
      <c r="A23" s="13" t="s">
        <v>33</v>
      </c>
      <c r="B23" s="68" t="s">
        <v>94</v>
      </c>
      <c r="C23" s="14"/>
      <c r="E23">
        <v>2.37</v>
      </c>
      <c r="F23">
        <v>31.19</v>
      </c>
      <c r="G23" s="39">
        <f t="shared" si="5"/>
        <v>13.160337552742616</v>
      </c>
      <c r="H23" s="36">
        <v>15.16</v>
      </c>
      <c r="K23" s="26" t="str">
        <f t="shared" si="14"/>
        <v>-</v>
      </c>
      <c r="L23" s="36">
        <f t="shared" si="15"/>
        <v>2.37</v>
      </c>
      <c r="M23" s="50">
        <f t="shared" si="25"/>
        <v>35.929200000000002</v>
      </c>
      <c r="N23" s="55">
        <f>M23/SUM($M$9:$M$29)</f>
        <v>8.1183414693210484E-3</v>
      </c>
      <c r="O23" s="45">
        <f t="shared" si="26"/>
        <v>4.7392000000000003</v>
      </c>
      <c r="P23" s="17">
        <f t="shared" si="27"/>
        <v>0.15194613658223791</v>
      </c>
      <c r="Q23" s="58" t="s">
        <v>79</v>
      </c>
    </row>
    <row r="24" spans="1:18" ht="15" customHeight="1" x14ac:dyDescent="0.2">
      <c r="A24" s="13"/>
      <c r="B24" s="68"/>
      <c r="C24" s="14"/>
      <c r="G24" s="39"/>
      <c r="H24" s="36"/>
      <c r="K24" s="26"/>
      <c r="L24" s="36"/>
      <c r="M24" s="50"/>
      <c r="N24" s="55"/>
      <c r="O24" s="45"/>
      <c r="P24" s="17"/>
      <c r="Q24" s="58"/>
    </row>
    <row r="25" spans="1:18" ht="15" customHeight="1" x14ac:dyDescent="0.2">
      <c r="A25" s="13" t="s">
        <v>33</v>
      </c>
      <c r="B25" s="68" t="s">
        <v>92</v>
      </c>
      <c r="C25" s="14"/>
      <c r="E25">
        <v>3.3</v>
      </c>
      <c r="F25">
        <v>24.07</v>
      </c>
      <c r="G25" s="39">
        <f t="shared" si="5"/>
        <v>7.2939393939393948</v>
      </c>
      <c r="H25" s="36">
        <v>7.42</v>
      </c>
      <c r="K25" s="26" t="str">
        <f t="shared" si="14"/>
        <v>-</v>
      </c>
      <c r="L25" s="36">
        <f t="shared" si="15"/>
        <v>3.3</v>
      </c>
      <c r="M25" s="50">
        <f t="shared" si="25"/>
        <v>24.485999999999997</v>
      </c>
      <c r="N25" s="55">
        <f>M25/SUM($M$9:$M$29)</f>
        <v>5.532706244998362E-3</v>
      </c>
      <c r="O25" s="45">
        <f t="shared" si="26"/>
        <v>0.41599999999999682</v>
      </c>
      <c r="P25" s="17">
        <f t="shared" si="27"/>
        <v>1.7282924802658778E-2</v>
      </c>
      <c r="Q25" s="58" t="s">
        <v>79</v>
      </c>
    </row>
    <row r="26" spans="1:18" ht="15.75" customHeight="1" x14ac:dyDescent="0.2">
      <c r="A26" s="13"/>
      <c r="B26" s="14"/>
      <c r="C26" s="14"/>
      <c r="D26" s="14"/>
      <c r="G26" s="39"/>
      <c r="H26" s="36"/>
      <c r="I26" s="36"/>
      <c r="J26" s="36"/>
      <c r="K26" s="26" t="str">
        <f t="shared" si="14"/>
        <v>-</v>
      </c>
      <c r="L26" s="36"/>
      <c r="M26" s="51"/>
      <c r="N26" s="55"/>
      <c r="O26" s="45"/>
      <c r="P26" s="17"/>
      <c r="Q26" s="58"/>
    </row>
    <row r="27" spans="1:18" ht="15.75" customHeight="1" x14ac:dyDescent="0.2">
      <c r="A27" s="13" t="s">
        <v>33</v>
      </c>
      <c r="B27" s="67" t="s">
        <v>43</v>
      </c>
      <c r="C27" s="69">
        <v>45251</v>
      </c>
      <c r="E27" s="36">
        <f>29.9+20+20</f>
        <v>69.900000000000006</v>
      </c>
      <c r="F27">
        <f>29.9+36+30</f>
        <v>95.9</v>
      </c>
      <c r="G27" s="39">
        <f>F27/E27</f>
        <v>1.3719599427753935</v>
      </c>
      <c r="H27" s="36">
        <v>0.52600000000000002</v>
      </c>
      <c r="K27" s="26" t="str">
        <f t="shared" si="14"/>
        <v>-</v>
      </c>
      <c r="L27" s="36">
        <f t="shared" ref="L27:L28" si="28">E27-I27</f>
        <v>69.900000000000006</v>
      </c>
      <c r="M27" s="50">
        <f t="shared" ref="M27:M28" si="29">(E27-I27)*H27</f>
        <v>36.767400000000002</v>
      </c>
      <c r="N27" s="55">
        <f>M27/SUM($M$9:$M$29)</f>
        <v>8.3077359957670835E-3</v>
      </c>
      <c r="O27" s="45">
        <f t="shared" ref="O27:O28" si="30">(J27+M27)-F27</f>
        <v>-59.132600000000004</v>
      </c>
      <c r="P27" s="17">
        <f t="shared" ref="P27:P28" si="31">O27/F27</f>
        <v>-0.61660688216892601</v>
      </c>
      <c r="Q27" s="58" t="s">
        <v>62</v>
      </c>
      <c r="R27" t="s">
        <v>63</v>
      </c>
    </row>
    <row r="28" spans="1:18" ht="15.75" customHeight="1" x14ac:dyDescent="0.2">
      <c r="A28" s="13" t="s">
        <v>33</v>
      </c>
      <c r="B28" s="14" t="s">
        <v>51</v>
      </c>
      <c r="C28" s="14">
        <v>45385</v>
      </c>
      <c r="E28">
        <v>10</v>
      </c>
      <c r="F28">
        <v>30</v>
      </c>
      <c r="G28" s="39">
        <f t="shared" si="5"/>
        <v>3</v>
      </c>
      <c r="H28" s="36">
        <v>0.77100000000000002</v>
      </c>
      <c r="K28" s="26" t="str">
        <f t="shared" si="14"/>
        <v>-</v>
      </c>
      <c r="L28" s="36">
        <f t="shared" si="28"/>
        <v>10</v>
      </c>
      <c r="M28" s="50">
        <f t="shared" si="29"/>
        <v>7.71</v>
      </c>
      <c r="N28" s="55">
        <f>M28/SUM($M$9:$M$29)</f>
        <v>1.7421042697434198E-3</v>
      </c>
      <c r="O28" s="45">
        <f t="shared" si="30"/>
        <v>-22.29</v>
      </c>
      <c r="P28" s="17">
        <f t="shared" si="31"/>
        <v>-0.74299999999999999</v>
      </c>
      <c r="Q28" s="58" t="s">
        <v>62</v>
      </c>
      <c r="R28" t="s">
        <v>63</v>
      </c>
    </row>
    <row r="30" spans="1:18" ht="15.75" customHeight="1" x14ac:dyDescent="0.2">
      <c r="A30" s="14"/>
      <c r="B30" s="14"/>
      <c r="G30" s="36"/>
    </row>
    <row r="31" spans="1:18" ht="15.75" customHeight="1" x14ac:dyDescent="0.2">
      <c r="A31" s="14"/>
      <c r="B31" s="14"/>
      <c r="G31" s="36"/>
    </row>
    <row r="32" spans="1:18" ht="15.75" customHeight="1" x14ac:dyDescent="0.2">
      <c r="A32" s="14"/>
      <c r="B32" s="14"/>
      <c r="G32" s="36"/>
    </row>
    <row r="33" spans="1:16" ht="15.75" customHeight="1" x14ac:dyDescent="0.2">
      <c r="A33" s="14"/>
      <c r="B33" s="14"/>
      <c r="G33" s="36"/>
    </row>
    <row r="34" spans="1:16" ht="15.75" customHeight="1" x14ac:dyDescent="0.2">
      <c r="A34" s="14"/>
      <c r="B34" s="14"/>
      <c r="G34" s="36"/>
    </row>
    <row r="35" spans="1:16" ht="15.75" customHeight="1" x14ac:dyDescent="0.2">
      <c r="A35" s="14"/>
      <c r="B35" s="14"/>
      <c r="G35" s="36"/>
    </row>
    <row r="36" spans="1:16" ht="15.75" customHeight="1" x14ac:dyDescent="0.2">
      <c r="A36" s="14"/>
      <c r="B36" s="14"/>
      <c r="G36" s="36"/>
    </row>
    <row r="37" spans="1:16" ht="15.75" customHeight="1" x14ac:dyDescent="0.2">
      <c r="A37" s="14"/>
      <c r="B37" s="14"/>
      <c r="G37" s="36"/>
    </row>
    <row r="38" spans="1:16" ht="15.75" customHeight="1" x14ac:dyDescent="0.2">
      <c r="A38" s="14"/>
      <c r="B38" s="14"/>
      <c r="F38" s="36"/>
      <c r="G38" s="36"/>
    </row>
    <row r="39" spans="1:16" ht="15.75" customHeight="1" x14ac:dyDescent="0.2">
      <c r="A39" s="14"/>
      <c r="B39" s="53"/>
      <c r="F39" s="36"/>
      <c r="G39" s="36"/>
    </row>
    <row r="40" spans="1:16" ht="15.75" customHeight="1" x14ac:dyDescent="0.2">
      <c r="A40" s="14"/>
    </row>
    <row r="41" spans="1:16" ht="15.75" customHeight="1" x14ac:dyDescent="0.2">
      <c r="A41" s="14"/>
      <c r="G41" s="57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7"/>
      <c r="J45" s="37"/>
      <c r="N45" s="37"/>
    </row>
    <row r="46" spans="1:16" ht="15.75" customHeight="1" x14ac:dyDescent="0.2">
      <c r="F46" s="64"/>
      <c r="J46" s="64"/>
      <c r="M46" s="64"/>
      <c r="P46" s="66"/>
    </row>
    <row r="47" spans="1:16" ht="15.75" customHeight="1" x14ac:dyDescent="0.2">
      <c r="F47" s="57"/>
      <c r="J47" s="57"/>
      <c r="M47" s="57"/>
      <c r="P47" s="66"/>
    </row>
    <row r="48" spans="1:16" ht="15.75" customHeight="1" x14ac:dyDescent="0.2">
      <c r="F48" s="57"/>
      <c r="J48" s="57"/>
      <c r="M48" s="57"/>
      <c r="P48" s="66"/>
    </row>
    <row r="49" spans="3:16" ht="15.75" customHeight="1" x14ac:dyDescent="0.2">
      <c r="C49" s="49"/>
      <c r="F49" s="64"/>
      <c r="J49" s="64"/>
      <c r="M49" s="64"/>
      <c r="P49" s="66"/>
    </row>
    <row r="50" spans="3:16" ht="15.75" customHeight="1" x14ac:dyDescent="0.2">
      <c r="C50" s="49"/>
      <c r="F50" s="57"/>
      <c r="J50" s="63"/>
      <c r="M50" s="57"/>
      <c r="P50" s="66"/>
    </row>
    <row r="51" spans="3:16" ht="15.75" customHeight="1" x14ac:dyDescent="0.2">
      <c r="C51" s="49"/>
      <c r="F51" s="57"/>
      <c r="J51" s="63"/>
      <c r="M51" s="57"/>
      <c r="P51" s="66"/>
    </row>
    <row r="52" spans="3:16" ht="15.75" customHeight="1" x14ac:dyDescent="0.2">
      <c r="C52" s="49"/>
      <c r="F52" s="57"/>
      <c r="J52" s="63"/>
      <c r="M52" s="57"/>
      <c r="P52" s="66"/>
    </row>
    <row r="53" spans="3:16" ht="15.75" customHeight="1" x14ac:dyDescent="0.2">
      <c r="C53" s="49"/>
      <c r="F53" s="64"/>
      <c r="J53" s="65"/>
      <c r="M53" s="64"/>
      <c r="P53" s="66"/>
    </row>
    <row r="54" spans="3:16" ht="15.75" customHeight="1" x14ac:dyDescent="0.2">
      <c r="C54" s="49"/>
      <c r="F54" s="57"/>
      <c r="J54" s="63"/>
      <c r="M54" s="57"/>
      <c r="P54" s="66"/>
    </row>
    <row r="55" spans="3:16" ht="15.75" customHeight="1" x14ac:dyDescent="0.2">
      <c r="C55" s="14"/>
      <c r="F55" s="57"/>
      <c r="J55" s="63"/>
      <c r="M55" s="57"/>
      <c r="P55" s="66"/>
    </row>
    <row r="56" spans="3:16" ht="15.75" customHeight="1" x14ac:dyDescent="0.2">
      <c r="C56" s="14"/>
      <c r="D56" s="36"/>
      <c r="F56" s="57"/>
      <c r="J56" s="63"/>
      <c r="M56" s="57"/>
      <c r="P56" s="66"/>
    </row>
    <row r="57" spans="3:16" ht="15.75" customHeight="1" x14ac:dyDescent="0.2">
      <c r="C57" s="14"/>
      <c r="D57" s="36"/>
      <c r="F57" s="57"/>
      <c r="J57" s="63"/>
      <c r="M57" s="57"/>
      <c r="P57" s="66"/>
    </row>
    <row r="58" spans="3:16" ht="15.75" customHeight="1" x14ac:dyDescent="0.2">
      <c r="C58" s="14"/>
      <c r="D58" s="36"/>
      <c r="F58" s="57"/>
      <c r="J58" s="63"/>
      <c r="M58" s="57"/>
      <c r="P58" s="66"/>
    </row>
    <row r="59" spans="3:16" ht="15.75" customHeight="1" x14ac:dyDescent="0.2">
      <c r="J59" s="63"/>
      <c r="M59" s="57"/>
      <c r="P59" s="66"/>
    </row>
    <row r="60" spans="3:16" ht="15.75" customHeight="1" x14ac:dyDescent="0.2">
      <c r="J60" s="63"/>
      <c r="M60" s="63"/>
      <c r="P60" s="66"/>
    </row>
    <row r="61" spans="3:16" ht="15.75" customHeight="1" x14ac:dyDescent="0.2">
      <c r="J61" s="63"/>
      <c r="M61" s="63"/>
      <c r="P61" s="66"/>
    </row>
    <row r="62" spans="3:16" ht="15.75" customHeight="1" x14ac:dyDescent="0.2">
      <c r="J62" s="63"/>
      <c r="M62" s="63"/>
      <c r="P62" s="66"/>
    </row>
    <row r="63" spans="3:16" ht="15.75" customHeight="1" x14ac:dyDescent="0.2">
      <c r="F63" s="57"/>
      <c r="J63" s="63"/>
      <c r="M63" s="63"/>
      <c r="P63" s="66"/>
    </row>
    <row r="64" spans="3:16" ht="15.75" customHeight="1" x14ac:dyDescent="0.2">
      <c r="F64" s="57"/>
      <c r="M64" s="63"/>
      <c r="P64" s="66"/>
    </row>
    <row r="65" spans="13:16" ht="15.75" customHeight="1" x14ac:dyDescent="0.2">
      <c r="M65" s="63"/>
      <c r="P65" s="66"/>
    </row>
    <row r="66" spans="13:16" ht="15.75" customHeight="1" x14ac:dyDescent="0.2">
      <c r="M66" s="63"/>
      <c r="P66" s="66"/>
    </row>
    <row r="67" spans="13:16" ht="15.75" customHeight="1" x14ac:dyDescent="0.2">
      <c r="M67" s="63"/>
      <c r="P67" s="66"/>
    </row>
    <row r="68" spans="13:16" ht="15.75" customHeight="1" x14ac:dyDescent="0.2">
      <c r="M68" s="63"/>
      <c r="P68" s="66"/>
    </row>
    <row r="69" spans="13:16" ht="15.75" customHeight="1" x14ac:dyDescent="0.2">
      <c r="M69" s="63"/>
      <c r="P69" s="66"/>
    </row>
    <row r="70" spans="13:16" ht="15.75" customHeight="1" x14ac:dyDescent="0.2">
      <c r="M70" s="63"/>
      <c r="P70" s="66"/>
    </row>
    <row r="71" spans="13:16" ht="15.75" customHeight="1" x14ac:dyDescent="0.2">
      <c r="M71" s="63"/>
      <c r="P71" s="66"/>
    </row>
    <row r="72" spans="13:16" ht="15.75" customHeight="1" x14ac:dyDescent="0.2">
      <c r="M72" s="63"/>
      <c r="P72" s="66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06"/>
  <sheetViews>
    <sheetView zoomScale="160" zoomScaleNormal="160" workbookViewId="0">
      <pane ySplit="2" topLeftCell="A3" activePane="bottomLeft" state="frozen"/>
      <selection pane="bottomLeft" activeCell="A8" sqref="A8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114</v>
      </c>
      <c r="B2" s="21" t="s">
        <v>119</v>
      </c>
      <c r="C2" s="21" t="s">
        <v>120</v>
      </c>
      <c r="D2" s="22" t="s">
        <v>121</v>
      </c>
      <c r="E2" s="22" t="s">
        <v>129</v>
      </c>
      <c r="F2" s="22" t="s">
        <v>122</v>
      </c>
      <c r="G2" s="28" t="s">
        <v>123</v>
      </c>
      <c r="H2" s="37" t="s">
        <v>142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45870</v>
      </c>
      <c r="B3" s="25" t="s">
        <v>124</v>
      </c>
      <c r="C3" s="25"/>
      <c r="D3" s="25"/>
      <c r="E3" s="25"/>
      <c r="F3" s="25">
        <v>5000</v>
      </c>
      <c r="G3" s="25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x14ac:dyDescent="0.2">
      <c r="A4" s="72">
        <v>45871</v>
      </c>
      <c r="B4" s="25" t="s">
        <v>126</v>
      </c>
      <c r="C4" s="25"/>
      <c r="D4" s="25"/>
      <c r="E4" s="25"/>
      <c r="F4" s="25">
        <v>1000</v>
      </c>
      <c r="G4" s="25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45872</v>
      </c>
      <c r="B5" s="25" t="s">
        <v>124</v>
      </c>
      <c r="C5" s="25"/>
      <c r="D5" s="25"/>
      <c r="E5" s="25"/>
      <c r="F5" s="25">
        <v>500</v>
      </c>
      <c r="G5" s="25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45874</v>
      </c>
      <c r="B6" s="25" t="s">
        <v>125</v>
      </c>
      <c r="C6" s="25" t="s">
        <v>34</v>
      </c>
      <c r="D6" s="25">
        <v>4000</v>
      </c>
      <c r="E6" s="25">
        <v>1</v>
      </c>
      <c r="F6" s="25">
        <f t="shared" ref="F6:F11" si="0">E6*D6</f>
        <v>4000</v>
      </c>
      <c r="G6" s="25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45879</v>
      </c>
      <c r="B7" s="25" t="s">
        <v>127</v>
      </c>
      <c r="C7" s="25" t="s">
        <v>34</v>
      </c>
      <c r="D7" s="25">
        <v>4000</v>
      </c>
      <c r="E7" s="25">
        <v>0.5</v>
      </c>
      <c r="F7" s="25">
        <f t="shared" si="0"/>
        <v>2000</v>
      </c>
      <c r="G7" s="25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x14ac:dyDescent="0.2">
      <c r="A8" s="72">
        <v>45875</v>
      </c>
      <c r="B8" s="25" t="s">
        <v>125</v>
      </c>
      <c r="C8" s="25" t="s">
        <v>35</v>
      </c>
      <c r="D8" s="25">
        <v>200</v>
      </c>
      <c r="E8" s="25">
        <v>2</v>
      </c>
      <c r="F8" s="25">
        <f t="shared" si="0"/>
        <v>400</v>
      </c>
      <c r="G8" s="25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2">
        <v>45880</v>
      </c>
      <c r="B9" s="25" t="s">
        <v>127</v>
      </c>
      <c r="C9" s="25" t="s">
        <v>35</v>
      </c>
      <c r="D9" s="25">
        <v>170</v>
      </c>
      <c r="E9" s="25">
        <v>1</v>
      </c>
      <c r="F9" s="25">
        <f t="shared" si="0"/>
        <v>170</v>
      </c>
      <c r="G9" s="25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45881</v>
      </c>
      <c r="B10" s="25" t="s">
        <v>127</v>
      </c>
      <c r="C10" s="25" t="s">
        <v>35</v>
      </c>
      <c r="D10" s="25">
        <v>170</v>
      </c>
      <c r="E10" s="25">
        <v>1</v>
      </c>
      <c r="F10" s="25">
        <f t="shared" si="0"/>
        <v>170</v>
      </c>
      <c r="G10" s="25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2">
        <v>45882</v>
      </c>
      <c r="B11" s="25" t="s">
        <v>127</v>
      </c>
      <c r="C11" s="25" t="s">
        <v>34</v>
      </c>
      <c r="D11" s="25">
        <v>4000</v>
      </c>
      <c r="E11" s="25">
        <v>0.5</v>
      </c>
      <c r="F11" s="25">
        <f t="shared" si="0"/>
        <v>2000</v>
      </c>
      <c r="G11" s="25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45889</v>
      </c>
      <c r="B12" s="25" t="s">
        <v>126</v>
      </c>
      <c r="C12" s="25"/>
      <c r="D12" s="25"/>
      <c r="E12" s="25"/>
      <c r="F12" s="25">
        <v>1000</v>
      </c>
      <c r="G12" s="25"/>
      <c r="H12" s="20" t="s">
        <v>66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G13" s="20"/>
      <c r="H13" s="20" t="s">
        <v>72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G14" s="20"/>
      <c r="H14" s="20" t="s">
        <v>151</v>
      </c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G15" s="20"/>
      <c r="H15" s="20" t="s">
        <v>151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3"/>
      <c r="B16" s="20"/>
      <c r="C16" s="20"/>
      <c r="D16" s="20"/>
      <c r="E16" s="20"/>
      <c r="F16" s="20"/>
      <c r="G16" s="27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3"/>
      <c r="B17" s="20"/>
      <c r="C17" s="20"/>
      <c r="D17" s="20"/>
      <c r="E17" s="20"/>
      <c r="F17" s="20"/>
      <c r="G17" s="27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3"/>
      <c r="B18" s="20"/>
      <c r="C18" s="20"/>
      <c r="D18" s="20"/>
      <c r="E18" s="20"/>
      <c r="F18" s="20"/>
      <c r="G18" s="27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3"/>
      <c r="B19" s="20"/>
      <c r="C19" s="20"/>
      <c r="D19" s="20"/>
      <c r="E19" s="20"/>
      <c r="F19" s="20"/>
      <c r="G19" s="27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3"/>
      <c r="B20" s="20"/>
      <c r="C20" s="20"/>
      <c r="D20" s="20"/>
      <c r="E20" s="20"/>
      <c r="F20" s="20"/>
      <c r="G20" s="27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3"/>
      <c r="B21" s="20"/>
      <c r="C21" s="20"/>
      <c r="D21" s="20"/>
      <c r="E21" s="20"/>
      <c r="F21" s="20"/>
      <c r="G21" s="27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3"/>
      <c r="B22" s="20"/>
      <c r="C22" s="20"/>
      <c r="D22" s="20"/>
      <c r="E22" s="20"/>
      <c r="F22" s="20"/>
      <c r="G22" s="27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3"/>
      <c r="B23" s="20"/>
      <c r="C23" s="20"/>
      <c r="D23" s="20"/>
      <c r="E23" s="20"/>
      <c r="F23" s="20"/>
      <c r="G23" s="27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3"/>
      <c r="B24" s="20"/>
      <c r="C24" s="20"/>
      <c r="D24" s="20"/>
      <c r="E24" s="20"/>
      <c r="F24" s="20"/>
      <c r="G24" s="27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3"/>
      <c r="B25" s="20"/>
      <c r="C25" s="20"/>
      <c r="D25" s="20"/>
      <c r="E25" s="20"/>
      <c r="F25" s="20"/>
      <c r="G25" s="27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3"/>
      <c r="B26" s="20"/>
      <c r="C26" s="20"/>
      <c r="D26" s="20"/>
      <c r="E26" s="20"/>
      <c r="F26" s="20"/>
      <c r="G26" s="27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3"/>
      <c r="B27" s="20"/>
      <c r="C27" s="20"/>
      <c r="D27" s="20"/>
      <c r="E27" s="20"/>
      <c r="F27" s="20"/>
      <c r="G27" s="27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3"/>
      <c r="B28" s="20"/>
      <c r="C28" s="20"/>
      <c r="D28" s="20"/>
      <c r="E28" s="20"/>
      <c r="F28" s="20"/>
      <c r="G28" s="27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3"/>
      <c r="B29" s="20"/>
      <c r="C29" s="20"/>
      <c r="D29" s="20"/>
      <c r="E29" s="20"/>
      <c r="F29" s="20"/>
      <c r="G29" s="27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/>
      <c r="B30" s="20"/>
      <c r="C30" s="20"/>
      <c r="D30" s="20"/>
      <c r="E30" s="20"/>
      <c r="F30" s="20"/>
      <c r="G30" s="27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/>
      <c r="B31" s="20"/>
      <c r="C31" s="20"/>
      <c r="D31" s="20"/>
      <c r="E31" s="20"/>
      <c r="F31" s="20"/>
      <c r="G31" s="27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20"/>
      <c r="B32" s="20"/>
      <c r="C32" s="20"/>
      <c r="D32" s="20"/>
      <c r="E32" s="20"/>
      <c r="F32" s="20"/>
      <c r="G32" s="27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20"/>
      <c r="B33" s="20"/>
      <c r="C33" s="20"/>
      <c r="D33" s="20"/>
      <c r="E33" s="20"/>
      <c r="F33" s="20"/>
      <c r="G33" s="27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20"/>
      <c r="B34" s="20"/>
      <c r="C34" s="20"/>
      <c r="D34" s="20"/>
      <c r="E34" s="20"/>
      <c r="F34" s="20"/>
      <c r="G34" s="27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20"/>
      <c r="B35" s="20"/>
      <c r="C35" s="20"/>
      <c r="D35" s="20"/>
      <c r="E35" s="20"/>
      <c r="F35" s="20"/>
      <c r="G35" s="27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20"/>
      <c r="B36" s="20"/>
      <c r="C36" s="20"/>
      <c r="D36" s="20"/>
      <c r="E36" s="20"/>
      <c r="F36" s="20"/>
      <c r="G36" s="27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20"/>
      <c r="B37" s="20"/>
      <c r="C37" s="20"/>
      <c r="D37" s="20"/>
      <c r="E37" s="20"/>
      <c r="F37" s="20"/>
      <c r="G37" s="27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20"/>
      <c r="B38" s="20"/>
      <c r="C38" s="20"/>
      <c r="D38" s="20"/>
      <c r="E38" s="20"/>
      <c r="F38" s="20"/>
      <c r="G38" s="27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20"/>
      <c r="B39" s="20"/>
      <c r="C39" s="20"/>
      <c r="D39" s="20"/>
      <c r="E39" s="20"/>
      <c r="F39" s="20"/>
      <c r="G39" s="27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20"/>
      <c r="B40" s="20"/>
      <c r="C40" s="20"/>
      <c r="D40" s="20"/>
      <c r="E40" s="20"/>
      <c r="F40" s="20"/>
      <c r="G40" s="27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20"/>
      <c r="B41" s="20"/>
      <c r="C41" s="20"/>
      <c r="D41" s="20"/>
      <c r="E41" s="20"/>
      <c r="F41" s="20"/>
      <c r="G41" s="27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20"/>
      <c r="B42" s="20"/>
      <c r="C42" s="20"/>
      <c r="D42" s="20"/>
      <c r="E42" s="20"/>
      <c r="F42" s="20"/>
      <c r="G42" s="27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20"/>
      <c r="B43" s="20"/>
      <c r="C43" s="20"/>
      <c r="D43" s="20"/>
      <c r="E43" s="20"/>
      <c r="F43" s="20"/>
      <c r="G43" s="27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20"/>
      <c r="B44" s="20"/>
      <c r="C44" s="20"/>
      <c r="D44" s="20"/>
      <c r="E44" s="20"/>
      <c r="F44" s="20"/>
      <c r="G44" s="27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20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20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20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20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20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20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20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20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20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20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20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</sheetData>
  <autoFilter ref="A2:W15" xr:uid="{00000000-0009-0000-0000-000002000000}"/>
  <dataValidations count="1">
    <dataValidation type="list" allowBlank="1" showInputMessage="1" showErrorMessage="1" sqref="B3:B12" xr:uid="{22E75341-75AF-442D-B583-0B70885978E3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3">
        <v>45889</v>
      </c>
      <c r="B1" s="25" t="s">
        <v>125</v>
      </c>
      <c r="C1" s="20" t="s">
        <v>35</v>
      </c>
      <c r="D1" s="20">
        <v>200</v>
      </c>
      <c r="E1" s="20">
        <v>2</v>
      </c>
      <c r="F1" s="74">
        <f>IF(B1="Buy",(-1)*D1*E1,D1*E1)</f>
        <v>-400</v>
      </c>
    </row>
    <row r="2" spans="1:6" x14ac:dyDescent="0.2">
      <c r="A2" s="73">
        <v>45890</v>
      </c>
      <c r="B2" s="25" t="s">
        <v>127</v>
      </c>
      <c r="C2" s="20" t="s">
        <v>35</v>
      </c>
      <c r="D2" s="20">
        <v>180</v>
      </c>
      <c r="E2" s="20">
        <v>1</v>
      </c>
      <c r="F2" s="74">
        <f>IF(B2="Buy",(-1)*D2*E2,D2*E2)</f>
        <v>180</v>
      </c>
    </row>
    <row r="3" spans="1:6" x14ac:dyDescent="0.2">
      <c r="A3" s="73">
        <v>45899</v>
      </c>
      <c r="B3" s="25" t="s">
        <v>125</v>
      </c>
      <c r="C3" s="20" t="s">
        <v>54</v>
      </c>
      <c r="D3" s="20">
        <v>100000</v>
      </c>
      <c r="E3" s="20">
        <v>1</v>
      </c>
      <c r="F3" s="74">
        <f>IF(B3="Buy",(-1)*D3*E3,D3*E3)</f>
        <v>-100000</v>
      </c>
    </row>
    <row r="4" spans="1:6" x14ac:dyDescent="0.2">
      <c r="A4" s="73">
        <v>45900</v>
      </c>
      <c r="B4" s="25" t="s">
        <v>127</v>
      </c>
      <c r="C4" s="20" t="s">
        <v>54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114</v>
      </c>
      <c r="B9" s="21" t="s">
        <v>119</v>
      </c>
      <c r="C9" s="21" t="s">
        <v>120</v>
      </c>
      <c r="D9" s="22" t="s">
        <v>121</v>
      </c>
      <c r="E9" s="22" t="s">
        <v>129</v>
      </c>
      <c r="F9" s="22" t="s">
        <v>122</v>
      </c>
    </row>
    <row r="10" spans="1:6" x14ac:dyDescent="0.2">
      <c r="A10" s="72">
        <v>44873</v>
      </c>
      <c r="B10" s="25" t="s">
        <v>124</v>
      </c>
      <c r="C10" s="25"/>
      <c r="D10" s="25"/>
      <c r="E10" s="25"/>
      <c r="F10" s="25">
        <v>118</v>
      </c>
    </row>
    <row r="11" spans="1:6" x14ac:dyDescent="0.2">
      <c r="A11" s="72">
        <v>44874</v>
      </c>
      <c r="B11" s="25" t="s">
        <v>125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2">
        <v>44900</v>
      </c>
      <c r="B12" s="25" t="s">
        <v>126</v>
      </c>
      <c r="C12" s="25"/>
      <c r="D12" s="25"/>
      <c r="E12" s="25"/>
      <c r="F12" s="25">
        <v>45</v>
      </c>
    </row>
    <row r="13" spans="1:6" x14ac:dyDescent="0.2">
      <c r="A13" s="72">
        <v>45099</v>
      </c>
      <c r="B13" s="25" t="s">
        <v>124</v>
      </c>
      <c r="C13" s="25"/>
      <c r="D13" s="25"/>
      <c r="E13" s="25"/>
      <c r="F13" s="25">
        <v>100</v>
      </c>
    </row>
    <row r="14" spans="1:6" x14ac:dyDescent="0.2">
      <c r="A14" s="72">
        <v>45362</v>
      </c>
      <c r="B14" s="25" t="s">
        <v>127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2">
        <v>45383</v>
      </c>
      <c r="B15" s="25" t="s">
        <v>124</v>
      </c>
      <c r="C15" s="25"/>
      <c r="D15" s="25"/>
      <c r="E15" s="25"/>
      <c r="F15" s="25">
        <v>200</v>
      </c>
    </row>
    <row r="16" spans="1:6" x14ac:dyDescent="0.2">
      <c r="A16" s="72">
        <v>45395</v>
      </c>
      <c r="B16" s="25" t="s">
        <v>124</v>
      </c>
      <c r="C16" s="25"/>
      <c r="D16" s="25"/>
      <c r="E16" s="25"/>
      <c r="F16" s="25">
        <v>75</v>
      </c>
    </row>
    <row r="17" spans="1:6" x14ac:dyDescent="0.2">
      <c r="A17" s="72">
        <v>45396</v>
      </c>
      <c r="B17" s="25" t="s">
        <v>125</v>
      </c>
      <c r="C17" s="25" t="s">
        <v>54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2">
        <v>45399</v>
      </c>
      <c r="B18" s="25" t="s">
        <v>124</v>
      </c>
      <c r="C18" s="25"/>
      <c r="D18" s="25"/>
      <c r="E18" s="25"/>
      <c r="F18" s="25">
        <v>189</v>
      </c>
    </row>
    <row r="19" spans="1:6" x14ac:dyDescent="0.2">
      <c r="A19" s="72">
        <v>45399</v>
      </c>
      <c r="B19" s="25" t="s">
        <v>125</v>
      </c>
      <c r="C19" s="25" t="s">
        <v>54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2">
        <v>45399</v>
      </c>
      <c r="B20" s="25" t="s">
        <v>125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2">
        <v>45457</v>
      </c>
      <c r="B21" s="25" t="s">
        <v>124</v>
      </c>
      <c r="C21" s="25"/>
      <c r="D21" s="25"/>
      <c r="E21" s="25"/>
      <c r="F21" s="25">
        <v>581</v>
      </c>
    </row>
    <row r="22" spans="1:6" x14ac:dyDescent="0.2">
      <c r="A22" s="72">
        <v>45461</v>
      </c>
      <c r="B22" s="25" t="s">
        <v>125</v>
      </c>
      <c r="C22" s="25" t="s">
        <v>54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2">
        <v>45477</v>
      </c>
      <c r="B23" s="25" t="s">
        <v>125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2">
        <v>45467</v>
      </c>
      <c r="B24" s="25" t="s">
        <v>124</v>
      </c>
      <c r="C24" s="25"/>
      <c r="D24" s="25"/>
      <c r="E24" s="25"/>
      <c r="F24" s="25">
        <v>577</v>
      </c>
    </row>
    <row r="25" spans="1:6" x14ac:dyDescent="0.2">
      <c r="A25" s="72">
        <v>45468</v>
      </c>
      <c r="B25" s="25" t="s">
        <v>125</v>
      </c>
      <c r="C25" s="25" t="s">
        <v>54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2">
        <v>45477</v>
      </c>
      <c r="B26" s="25" t="s">
        <v>125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2">
        <v>45481</v>
      </c>
      <c r="B27" s="25" t="s">
        <v>124</v>
      </c>
      <c r="C27" s="25"/>
      <c r="D27" s="25"/>
      <c r="E27" s="25"/>
      <c r="F27" s="25">
        <v>384</v>
      </c>
    </row>
    <row r="28" spans="1:6" x14ac:dyDescent="0.2">
      <c r="A28" s="72">
        <v>45509</v>
      </c>
      <c r="B28" s="25" t="s">
        <v>125</v>
      </c>
      <c r="C28" s="25" t="s">
        <v>54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2">
        <v>45506</v>
      </c>
      <c r="B29" s="25" t="s">
        <v>125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2">
        <v>45541</v>
      </c>
      <c r="B30" s="25" t="s">
        <v>124</v>
      </c>
      <c r="C30" s="25"/>
      <c r="D30" s="25"/>
      <c r="E30" s="25"/>
      <c r="F30" s="25">
        <v>792</v>
      </c>
    </row>
    <row r="31" spans="1:6" x14ac:dyDescent="0.2">
      <c r="A31" s="72">
        <v>45541</v>
      </c>
      <c r="B31" s="25" t="s">
        <v>125</v>
      </c>
      <c r="C31" s="25" t="s">
        <v>54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2">
        <v>45542</v>
      </c>
      <c r="B32" s="25" t="s">
        <v>125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2">
        <v>45595</v>
      </c>
      <c r="B33" s="25" t="s">
        <v>127</v>
      </c>
      <c r="C33" s="60" t="s">
        <v>54</v>
      </c>
      <c r="D33" s="60">
        <v>72347</v>
      </c>
      <c r="E33" s="60">
        <v>6.0000000000000001E-3</v>
      </c>
      <c r="F33" s="25">
        <f t="shared" si="0"/>
        <v>434.08199999999999</v>
      </c>
    </row>
    <row r="34" spans="1:6" x14ac:dyDescent="0.2">
      <c r="A34" s="72">
        <v>45601</v>
      </c>
      <c r="B34" s="25" t="s">
        <v>125</v>
      </c>
      <c r="C34" s="60" t="s">
        <v>34</v>
      </c>
      <c r="D34" s="60">
        <v>2478</v>
      </c>
      <c r="E34" s="60">
        <v>8.4000000000000005E-2</v>
      </c>
      <c r="F34" s="25">
        <f t="shared" si="0"/>
        <v>-208.15200000000002</v>
      </c>
    </row>
    <row r="35" spans="1:6" x14ac:dyDescent="0.2">
      <c r="A35" s="72">
        <v>45622</v>
      </c>
      <c r="B35" s="25" t="s">
        <v>127</v>
      </c>
      <c r="C35" s="20" t="s">
        <v>54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2">
        <v>45622</v>
      </c>
      <c r="B36" s="25" t="s">
        <v>127</v>
      </c>
      <c r="C36" s="20" t="s">
        <v>54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3">
        <v>45663</v>
      </c>
      <c r="B37" s="25" t="s">
        <v>127</v>
      </c>
      <c r="C37" s="20" t="s">
        <v>54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3">
        <v>45670</v>
      </c>
      <c r="B38" s="25" t="s">
        <v>124</v>
      </c>
      <c r="C38" s="20"/>
      <c r="D38" s="20"/>
      <c r="E38" s="20"/>
      <c r="F38" s="25">
        <v>115.38</v>
      </c>
    </row>
    <row r="39" spans="1:6" x14ac:dyDescent="0.2">
      <c r="A39" s="73">
        <v>45676</v>
      </c>
      <c r="B39" s="25" t="s">
        <v>127</v>
      </c>
      <c r="C39" s="20" t="s">
        <v>54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3">
        <v>45678</v>
      </c>
      <c r="B40" s="25" t="s">
        <v>124</v>
      </c>
      <c r="C40" s="20"/>
      <c r="D40" s="20"/>
      <c r="E40" s="20"/>
      <c r="F40" s="25">
        <v>384.6</v>
      </c>
    </row>
    <row r="41" spans="1:6" x14ac:dyDescent="0.2">
      <c r="A41" s="73">
        <v>45716</v>
      </c>
      <c r="B41" s="25" t="s">
        <v>125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3">
        <v>45670</v>
      </c>
      <c r="B42" s="25" t="s">
        <v>125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3">
        <v>45672</v>
      </c>
      <c r="B43" s="25" t="s">
        <v>127</v>
      </c>
      <c r="C43" s="20" t="s">
        <v>54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3">
        <v>45676</v>
      </c>
      <c r="B44" s="25" t="s">
        <v>127</v>
      </c>
      <c r="C44" s="20" t="s">
        <v>54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3">
        <v>45750</v>
      </c>
      <c r="B45" s="25" t="s">
        <v>127</v>
      </c>
      <c r="C45" s="20" t="s">
        <v>54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3">
        <v>45793</v>
      </c>
      <c r="B46" s="25" t="s">
        <v>124</v>
      </c>
      <c r="C46" s="20"/>
      <c r="D46" s="20"/>
      <c r="E46" s="20"/>
      <c r="F46" s="25">
        <v>1104</v>
      </c>
    </row>
    <row r="47" spans="1:6" x14ac:dyDescent="0.2">
      <c r="A47" s="73">
        <v>45887</v>
      </c>
      <c r="B47" s="25" t="s">
        <v>125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Q12"/>
  <sheetViews>
    <sheetView zoomScale="130" zoomScaleNormal="130" workbookViewId="0">
      <selection activeCell="J15" sqref="J15"/>
    </sheetView>
  </sheetViews>
  <sheetFormatPr defaultRowHeight="12.75" x14ac:dyDescent="0.2"/>
  <cols>
    <col min="1" max="1" width="10.28515625" style="70" bestFit="1" customWidth="1"/>
    <col min="2" max="4" width="5.5703125" style="23" bestFit="1" customWidth="1"/>
    <col min="5" max="5" width="12.7109375" style="23" bestFit="1" customWidth="1"/>
    <col min="6" max="6" width="14.7109375" style="23" bestFit="1" customWidth="1"/>
    <col min="7" max="7" width="10.85546875" style="23" bestFit="1" customWidth="1"/>
    <col min="8" max="8" width="19.5703125" style="71" bestFit="1" customWidth="1"/>
    <col min="9" max="9" width="5.5703125" style="75" bestFit="1" customWidth="1"/>
    <col min="10" max="10" width="8.140625" style="71" bestFit="1" customWidth="1"/>
    <col min="11" max="11" width="5.5703125" style="23" bestFit="1" customWidth="1"/>
    <col min="12" max="12" width="4" style="23" bestFit="1" customWidth="1"/>
    <col min="13" max="13" width="6.85546875" style="108" bestFit="1" customWidth="1"/>
    <col min="15" max="17" width="5.5703125" style="23" bestFit="1" customWidth="1"/>
  </cols>
  <sheetData>
    <row r="1" spans="1:17" s="115" customFormat="1" x14ac:dyDescent="0.2">
      <c r="A1" s="109" t="s">
        <v>114</v>
      </c>
      <c r="B1" s="110" t="s">
        <v>152</v>
      </c>
      <c r="C1" s="110" t="s">
        <v>120</v>
      </c>
      <c r="D1" s="110" t="s">
        <v>0</v>
      </c>
      <c r="E1" s="110" t="s">
        <v>115</v>
      </c>
      <c r="F1" s="111" t="s">
        <v>116</v>
      </c>
      <c r="G1" s="110" t="s">
        <v>117</v>
      </c>
      <c r="H1" s="112" t="s">
        <v>120</v>
      </c>
      <c r="I1" s="111"/>
      <c r="J1" s="112"/>
      <c r="K1" s="110"/>
      <c r="L1" s="110"/>
      <c r="M1" s="113"/>
      <c r="N1" s="114"/>
      <c r="O1" s="110"/>
      <c r="P1" s="110"/>
      <c r="Q1" s="110"/>
    </row>
    <row r="2" spans="1:17" x14ac:dyDescent="0.2">
      <c r="A2" s="70">
        <v>45870</v>
      </c>
      <c r="B2" s="23">
        <v>5000</v>
      </c>
      <c r="C2" s="23">
        <v>0</v>
      </c>
      <c r="D2" s="23">
        <v>5000</v>
      </c>
      <c r="E2" s="23">
        <v>5000</v>
      </c>
      <c r="F2" s="23">
        <v>0</v>
      </c>
      <c r="G2" s="23">
        <v>0</v>
      </c>
    </row>
    <row r="3" spans="1:17" x14ac:dyDescent="0.2">
      <c r="A3" s="70">
        <v>45871</v>
      </c>
      <c r="B3" s="23">
        <v>4000</v>
      </c>
      <c r="C3" s="23">
        <v>0</v>
      </c>
      <c r="D3" s="23">
        <v>4000</v>
      </c>
      <c r="E3" s="23">
        <v>5000</v>
      </c>
      <c r="F3" s="23">
        <v>1000</v>
      </c>
      <c r="G3" s="23">
        <v>0</v>
      </c>
    </row>
    <row r="4" spans="1:17" x14ac:dyDescent="0.2">
      <c r="A4" s="70">
        <v>45872</v>
      </c>
      <c r="B4" s="23">
        <v>4500</v>
      </c>
      <c r="C4" s="23">
        <v>0</v>
      </c>
      <c r="D4" s="23">
        <v>4500</v>
      </c>
      <c r="E4" s="23">
        <v>5500</v>
      </c>
      <c r="F4" s="23">
        <v>1000</v>
      </c>
      <c r="G4" s="23">
        <v>0</v>
      </c>
    </row>
    <row r="5" spans="1:17" x14ac:dyDescent="0.2">
      <c r="A5" s="70">
        <v>45873</v>
      </c>
      <c r="B5" s="23">
        <v>4500</v>
      </c>
      <c r="C5" s="23">
        <v>0</v>
      </c>
      <c r="D5" s="23">
        <v>4500</v>
      </c>
      <c r="E5" s="23">
        <v>5500</v>
      </c>
      <c r="F5" s="23">
        <v>1000</v>
      </c>
      <c r="G5" s="23">
        <v>0</v>
      </c>
    </row>
    <row r="6" spans="1:17" x14ac:dyDescent="0.2">
      <c r="A6" s="70">
        <v>45874</v>
      </c>
      <c r="B6" s="23">
        <v>500</v>
      </c>
      <c r="C6" s="23">
        <v>3612</v>
      </c>
      <c r="D6" s="23">
        <v>4112</v>
      </c>
      <c r="E6" s="23">
        <v>5500</v>
      </c>
      <c r="F6" s="23">
        <v>1000</v>
      </c>
      <c r="G6" s="23">
        <v>-388</v>
      </c>
      <c r="H6" s="71" t="s">
        <v>154</v>
      </c>
    </row>
    <row r="7" spans="1:17" x14ac:dyDescent="0.2">
      <c r="A7" s="70">
        <v>45875</v>
      </c>
      <c r="B7" s="23">
        <v>100</v>
      </c>
      <c r="C7" s="23">
        <v>4019</v>
      </c>
      <c r="D7" s="23">
        <v>4119</v>
      </c>
      <c r="E7" s="23">
        <v>5500</v>
      </c>
      <c r="F7" s="23">
        <v>1000</v>
      </c>
      <c r="G7" s="23">
        <v>-381</v>
      </c>
    </row>
    <row r="8" spans="1:17" x14ac:dyDescent="0.2">
      <c r="A8" s="70">
        <v>45876</v>
      </c>
      <c r="B8" s="23">
        <v>100</v>
      </c>
      <c r="C8" s="23">
        <v>4261</v>
      </c>
      <c r="D8" s="23">
        <v>4361</v>
      </c>
      <c r="E8" s="23">
        <v>5500</v>
      </c>
      <c r="F8" s="23">
        <v>1000</v>
      </c>
      <c r="G8" s="23">
        <v>-139</v>
      </c>
    </row>
    <row r="9" spans="1:17" x14ac:dyDescent="0.2">
      <c r="A9" s="70">
        <v>45877</v>
      </c>
      <c r="B9" s="23">
        <v>100</v>
      </c>
      <c r="C9" s="23">
        <v>4363</v>
      </c>
      <c r="D9" s="23">
        <v>4463</v>
      </c>
      <c r="E9" s="23">
        <v>5500</v>
      </c>
      <c r="F9" s="23">
        <v>1000</v>
      </c>
      <c r="G9" s="23">
        <v>-37</v>
      </c>
      <c r="H9" s="71" t="s">
        <v>153</v>
      </c>
    </row>
    <row r="10" spans="1:17" x14ac:dyDescent="0.2">
      <c r="A10" s="70">
        <v>45879</v>
      </c>
      <c r="B10" s="23">
        <v>2100</v>
      </c>
      <c r="C10" s="23">
        <v>2491</v>
      </c>
      <c r="D10" s="23">
        <v>4591</v>
      </c>
    </row>
    <row r="11" spans="1:17" x14ac:dyDescent="0.2">
      <c r="A11" s="70">
        <v>45881</v>
      </c>
      <c r="B11" s="23">
        <v>2440</v>
      </c>
      <c r="C11" s="23">
        <v>2295</v>
      </c>
      <c r="D11" s="23">
        <v>4735</v>
      </c>
      <c r="E11" s="23">
        <v>5500</v>
      </c>
      <c r="F11" s="23">
        <v>1000</v>
      </c>
      <c r="G11" s="23">
        <v>235</v>
      </c>
      <c r="H11" s="71" t="s">
        <v>155</v>
      </c>
    </row>
    <row r="12" spans="1:17" x14ac:dyDescent="0.2">
      <c r="A12" s="70">
        <v>45882</v>
      </c>
      <c r="B12" s="23">
        <v>4440</v>
      </c>
      <c r="C12" s="23">
        <v>0</v>
      </c>
      <c r="D12" s="23">
        <v>4440</v>
      </c>
      <c r="E12" s="23">
        <v>5500</v>
      </c>
      <c r="F12" s="23">
        <v>1000</v>
      </c>
      <c r="G12" s="23">
        <v>-60</v>
      </c>
    </row>
  </sheetData>
  <sortState xmlns:xlrd2="http://schemas.microsoft.com/office/spreadsheetml/2017/richdata2" ref="A2:H12">
    <sortCondition ref="A2:A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D6"/>
  <sheetViews>
    <sheetView zoomScale="175" zoomScaleNormal="175" workbookViewId="0">
      <selection activeCell="F4" sqref="F4"/>
    </sheetView>
  </sheetViews>
  <sheetFormatPr defaultRowHeight="12.75" x14ac:dyDescent="0.2"/>
  <cols>
    <col min="1" max="16384" width="9.140625" style="121"/>
  </cols>
  <sheetData>
    <row r="1" spans="1:4" x14ac:dyDescent="0.2">
      <c r="A1" s="122" t="s">
        <v>54</v>
      </c>
      <c r="B1" s="122" t="s">
        <v>160</v>
      </c>
      <c r="C1" s="122" t="s">
        <v>159</v>
      </c>
      <c r="D1" s="122" t="s">
        <v>158</v>
      </c>
    </row>
    <row r="2" spans="1:4" x14ac:dyDescent="0.2">
      <c r="A2" s="121" t="s">
        <v>54</v>
      </c>
      <c r="B2" s="121" t="s">
        <v>34</v>
      </c>
      <c r="C2" s="121" t="s">
        <v>43</v>
      </c>
      <c r="D2" s="121" t="s">
        <v>157</v>
      </c>
    </row>
    <row r="3" spans="1:4" x14ac:dyDescent="0.2">
      <c r="B3" s="121" t="s">
        <v>162</v>
      </c>
      <c r="C3" s="121" t="s">
        <v>35</v>
      </c>
      <c r="D3" s="121" t="s">
        <v>161</v>
      </c>
    </row>
    <row r="4" spans="1:4" x14ac:dyDescent="0.2">
      <c r="B4" s="121" t="s">
        <v>37</v>
      </c>
      <c r="C4" s="121" t="s">
        <v>51</v>
      </c>
    </row>
    <row r="5" spans="1:4" x14ac:dyDescent="0.2">
      <c r="B5" s="121" t="s">
        <v>85</v>
      </c>
    </row>
    <row r="6" spans="1:4" x14ac:dyDescent="0.2">
      <c r="B6" s="121" t="s">
        <v>156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C35B3-B252-4217-87DA-1A86E929AC62}">
  <sheetPr codeName="Sheet10">
    <outlinePr summaryBelow="0" summaryRight="0"/>
  </sheetPr>
  <dimension ref="A1:W235"/>
  <sheetViews>
    <sheetView zoomScale="160" zoomScaleNormal="160" workbookViewId="0">
      <pane ySplit="2" topLeftCell="A33" activePane="bottomLeft" state="frozen"/>
      <selection pane="bottomLeft" activeCell="G42" sqref="G42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114</v>
      </c>
      <c r="B2" s="21" t="s">
        <v>119</v>
      </c>
      <c r="C2" s="21" t="s">
        <v>120</v>
      </c>
      <c r="D2" s="22" t="s">
        <v>121</v>
      </c>
      <c r="E2" s="22" t="s">
        <v>129</v>
      </c>
      <c r="F2" s="22" t="s">
        <v>122</v>
      </c>
      <c r="G2" s="28" t="s">
        <v>123</v>
      </c>
      <c r="H2" s="37" t="s">
        <v>142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44873</v>
      </c>
      <c r="B3" s="25" t="s">
        <v>124</v>
      </c>
      <c r="C3" s="25"/>
      <c r="D3" s="25"/>
      <c r="E3" s="25"/>
      <c r="F3" s="25">
        <v>118</v>
      </c>
      <c r="G3" s="25" t="s">
        <v>45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38.25" x14ac:dyDescent="0.2">
      <c r="A4" s="72">
        <v>44874</v>
      </c>
      <c r="B4" s="25" t="s">
        <v>125</v>
      </c>
      <c r="C4" s="25" t="s">
        <v>34</v>
      </c>
      <c r="D4" s="25">
        <v>1314</v>
      </c>
      <c r="E4" s="25">
        <v>0.02</v>
      </c>
      <c r="F4" s="25">
        <f>IF(B4="Buy",(-1)*D4*E4,D4*E4)</f>
        <v>-26.28</v>
      </c>
      <c r="G4" s="25" t="s">
        <v>38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44900</v>
      </c>
      <c r="B5" s="25" t="s">
        <v>126</v>
      </c>
      <c r="C5" s="25"/>
      <c r="D5" s="25"/>
      <c r="E5" s="25"/>
      <c r="F5" s="25">
        <v>45</v>
      </c>
      <c r="G5" s="25" t="s">
        <v>42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45099</v>
      </c>
      <c r="B6" s="25" t="s">
        <v>124</v>
      </c>
      <c r="C6" s="25"/>
      <c r="D6" s="25"/>
      <c r="E6" s="25"/>
      <c r="F6" s="25">
        <v>100</v>
      </c>
      <c r="G6" s="25" t="s">
        <v>44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45362</v>
      </c>
      <c r="B7" s="25" t="s">
        <v>127</v>
      </c>
      <c r="C7" s="25" t="s">
        <v>34</v>
      </c>
      <c r="D7" s="25">
        <v>4020</v>
      </c>
      <c r="E7" s="25">
        <v>0.01</v>
      </c>
      <c r="F7" s="25">
        <f>IF(B7="Buy",(-1)*D7*E7,D7*E7)</f>
        <v>40.200000000000003</v>
      </c>
      <c r="G7" s="25" t="s">
        <v>48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2">
        <v>45383</v>
      </c>
      <c r="B8" s="25" t="s">
        <v>124</v>
      </c>
      <c r="C8" s="25"/>
      <c r="D8" s="25"/>
      <c r="E8" s="25"/>
      <c r="F8" s="25">
        <v>200</v>
      </c>
      <c r="G8" s="25" t="s">
        <v>52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ht="38.25" x14ac:dyDescent="0.2">
      <c r="A9" s="72">
        <v>45395</v>
      </c>
      <c r="B9" s="25" t="s">
        <v>124</v>
      </c>
      <c r="C9" s="25"/>
      <c r="D9" s="25"/>
      <c r="E9" s="25"/>
      <c r="F9" s="25">
        <v>75</v>
      </c>
      <c r="G9" s="25" t="s">
        <v>53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45396</v>
      </c>
      <c r="B10" s="25" t="s">
        <v>125</v>
      </c>
      <c r="C10" s="25" t="s">
        <v>54</v>
      </c>
      <c r="D10" s="25">
        <v>64306</v>
      </c>
      <c r="E10" s="25">
        <v>3.1E-4</v>
      </c>
      <c r="F10" s="25">
        <f>IF(B10="Buy",(-1)*D10*E10,D10*E10)</f>
        <v>-19.93486</v>
      </c>
      <c r="G10" s="25" t="s">
        <v>55</v>
      </c>
      <c r="H10" s="20" t="s">
        <v>66</v>
      </c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ht="25.5" x14ac:dyDescent="0.2">
      <c r="A11" s="72">
        <v>45399</v>
      </c>
      <c r="B11" s="25" t="s">
        <v>124</v>
      </c>
      <c r="C11" s="25"/>
      <c r="D11" s="25"/>
      <c r="E11" s="25"/>
      <c r="F11" s="25">
        <v>189</v>
      </c>
      <c r="G11" s="25" t="s">
        <v>56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45399</v>
      </c>
      <c r="B12" s="25" t="s">
        <v>125</v>
      </c>
      <c r="C12" s="25" t="s">
        <v>54</v>
      </c>
      <c r="D12" s="25">
        <v>60000</v>
      </c>
      <c r="E12" s="25">
        <v>1.57E-3</v>
      </c>
      <c r="F12" s="25">
        <f>IF(B12="Buy",(-1)*D12*E12,D12*E12)</f>
        <v>-94.2</v>
      </c>
      <c r="G12" s="25" t="s">
        <v>57</v>
      </c>
      <c r="H12" s="20" t="s">
        <v>66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45399</v>
      </c>
      <c r="B13" s="25" t="s">
        <v>125</v>
      </c>
      <c r="C13" s="25" t="s">
        <v>34</v>
      </c>
      <c r="D13" s="25">
        <v>2969</v>
      </c>
      <c r="E13" s="25">
        <v>3.1800000000000002E-2</v>
      </c>
      <c r="F13" s="25">
        <f>IF(B13="Buy",(-1)*D13*E13,D13*E13)</f>
        <v>-94.414200000000008</v>
      </c>
      <c r="G13" s="25" t="s">
        <v>58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2">
        <v>45457</v>
      </c>
      <c r="B14" s="25" t="s">
        <v>124</v>
      </c>
      <c r="C14" s="25"/>
      <c r="D14" s="25"/>
      <c r="E14" s="25"/>
      <c r="F14" s="25">
        <v>581</v>
      </c>
      <c r="G14" s="25" t="s">
        <v>65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2">
        <v>45461</v>
      </c>
      <c r="B15" s="25" t="s">
        <v>125</v>
      </c>
      <c r="C15" s="25" t="s">
        <v>54</v>
      </c>
      <c r="D15" s="25">
        <v>65000</v>
      </c>
      <c r="E15" s="25">
        <v>6.1500000000000001E-3</v>
      </c>
      <c r="F15" s="25">
        <f>IF(B15="Buy",(-1)*D15*E15,D15*E15)</f>
        <v>-399.75</v>
      </c>
      <c r="G15" s="25" t="s">
        <v>75</v>
      </c>
      <c r="H15" s="20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2">
        <v>45477</v>
      </c>
      <c r="B16" s="25" t="s">
        <v>125</v>
      </c>
      <c r="C16" s="25" t="s">
        <v>34</v>
      </c>
      <c r="D16" s="25">
        <v>3200</v>
      </c>
      <c r="E16" s="25">
        <v>5.62E-2</v>
      </c>
      <c r="F16" s="25">
        <f>IF(B16="Buy",(-1)*D16*E16,D16*E16)</f>
        <v>-179.84</v>
      </c>
      <c r="G16" s="25" t="s">
        <v>64</v>
      </c>
      <c r="H16" s="20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2">
        <v>45467</v>
      </c>
      <c r="B17" s="25" t="s">
        <v>124</v>
      </c>
      <c r="C17" s="25"/>
      <c r="D17" s="25"/>
      <c r="E17" s="25"/>
      <c r="F17" s="25">
        <v>577</v>
      </c>
      <c r="G17" s="25" t="s">
        <v>69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2">
        <v>45468</v>
      </c>
      <c r="B18" s="25" t="s">
        <v>125</v>
      </c>
      <c r="C18" s="25" t="s">
        <v>54</v>
      </c>
      <c r="D18" s="25">
        <v>60000</v>
      </c>
      <c r="E18" s="25">
        <v>6.6699999999999997E-3</v>
      </c>
      <c r="F18" s="25">
        <f>IF(B18="Buy",(-1)*D18*E18,D18*E18)</f>
        <v>-400.2</v>
      </c>
      <c r="G18" s="25" t="s">
        <v>71</v>
      </c>
      <c r="H18" s="20" t="s">
        <v>72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2">
        <v>45477</v>
      </c>
      <c r="B19" s="25" t="s">
        <v>125</v>
      </c>
      <c r="C19" s="25" t="s">
        <v>34</v>
      </c>
      <c r="D19" s="25">
        <v>3200</v>
      </c>
      <c r="E19" s="25">
        <v>5.5E-2</v>
      </c>
      <c r="F19" s="25">
        <f>IF(B19="Buy",(-1)*D19*E19,D19*E19)</f>
        <v>-176</v>
      </c>
      <c r="G19" s="25" t="s">
        <v>70</v>
      </c>
      <c r="H19" s="20" t="s">
        <v>72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2">
        <v>45481</v>
      </c>
      <c r="B20" s="25" t="s">
        <v>124</v>
      </c>
      <c r="C20" s="25"/>
      <c r="D20" s="25"/>
      <c r="E20" s="25"/>
      <c r="F20" s="25">
        <v>384</v>
      </c>
      <c r="G20" s="25" t="s">
        <v>67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2">
        <v>45509</v>
      </c>
      <c r="B21" s="25" t="s">
        <v>125</v>
      </c>
      <c r="C21" s="25" t="s">
        <v>54</v>
      </c>
      <c r="D21" s="25">
        <v>55000</v>
      </c>
      <c r="E21" s="25">
        <v>3.4499999999999999E-3</v>
      </c>
      <c r="F21" s="25">
        <f>IF(B21="Buy",(-1)*D21*E21,D21*E21)</f>
        <v>-189.75</v>
      </c>
      <c r="G21" s="25" t="s">
        <v>73</v>
      </c>
      <c r="H21" s="20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2">
        <v>45506</v>
      </c>
      <c r="B22" s="25" t="s">
        <v>125</v>
      </c>
      <c r="C22" s="25" t="s">
        <v>34</v>
      </c>
      <c r="D22" s="25">
        <v>3000</v>
      </c>
      <c r="E22" s="25">
        <v>6.5100000000000005E-2</v>
      </c>
      <c r="F22" s="25">
        <f>IF(B22="Buy",(-1)*D22*E22,D22*E22)</f>
        <v>-195.3</v>
      </c>
      <c r="G22" s="25" t="s">
        <v>74</v>
      </c>
      <c r="H22" s="20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2">
        <v>45541</v>
      </c>
      <c r="B23" s="25" t="s">
        <v>124</v>
      </c>
      <c r="C23" s="25"/>
      <c r="D23" s="25"/>
      <c r="E23" s="25"/>
      <c r="F23" s="25">
        <v>792</v>
      </c>
      <c r="G23" s="25" t="s">
        <v>81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2">
        <v>45541</v>
      </c>
      <c r="B24" s="25" t="s">
        <v>125</v>
      </c>
      <c r="C24" s="25" t="s">
        <v>54</v>
      </c>
      <c r="D24" s="25">
        <v>54000</v>
      </c>
      <c r="E24" s="25">
        <v>5.5500000000000002E-3</v>
      </c>
      <c r="F24" s="25">
        <f t="shared" ref="F24:F30" si="0">IF(B24="Buy",(-1)*D24*E24,D24*E24)</f>
        <v>-299.7</v>
      </c>
      <c r="G24" s="25" t="s">
        <v>76</v>
      </c>
      <c r="H24" s="20" t="s">
        <v>72</v>
      </c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2">
        <v>45542</v>
      </c>
      <c r="B25" s="25" t="s">
        <v>125</v>
      </c>
      <c r="C25" s="25" t="s">
        <v>34</v>
      </c>
      <c r="D25" s="25">
        <v>2200</v>
      </c>
      <c r="E25" s="25">
        <v>0.1363</v>
      </c>
      <c r="F25" s="25">
        <f t="shared" si="0"/>
        <v>-299.86</v>
      </c>
      <c r="G25" s="25" t="s">
        <v>77</v>
      </c>
      <c r="H25" s="20" t="s">
        <v>72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2">
        <v>45595</v>
      </c>
      <c r="B26" s="25" t="s">
        <v>127</v>
      </c>
      <c r="C26" s="60" t="s">
        <v>54</v>
      </c>
      <c r="D26" s="60">
        <v>72347</v>
      </c>
      <c r="E26" s="60">
        <v>6.0000000000000001E-3</v>
      </c>
      <c r="F26" s="25">
        <f t="shared" si="0"/>
        <v>434.08199999999999</v>
      </c>
      <c r="G26" s="60" t="s">
        <v>83</v>
      </c>
      <c r="H26" s="20" t="s">
        <v>72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2">
        <v>45601</v>
      </c>
      <c r="B27" s="25" t="s">
        <v>125</v>
      </c>
      <c r="C27" s="60" t="s">
        <v>34</v>
      </c>
      <c r="D27" s="60">
        <v>2478</v>
      </c>
      <c r="E27" s="60">
        <v>8.4000000000000005E-2</v>
      </c>
      <c r="F27" s="25">
        <f t="shared" si="0"/>
        <v>-208.15200000000002</v>
      </c>
      <c r="G27" s="60" t="s">
        <v>82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2">
        <v>45622</v>
      </c>
      <c r="B28" s="25" t="s">
        <v>127</v>
      </c>
      <c r="C28" s="20" t="s">
        <v>54</v>
      </c>
      <c r="D28" s="20">
        <v>93000</v>
      </c>
      <c r="E28" s="20">
        <v>3.0000000000000001E-3</v>
      </c>
      <c r="F28" s="25">
        <f t="shared" si="0"/>
        <v>279</v>
      </c>
      <c r="G28" s="27" t="s">
        <v>103</v>
      </c>
      <c r="H28" s="20" t="s">
        <v>72</v>
      </c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2">
        <v>45622</v>
      </c>
      <c r="B29" s="25" t="s">
        <v>127</v>
      </c>
      <c r="C29" s="20" t="s">
        <v>54</v>
      </c>
      <c r="D29" s="20">
        <v>94000</v>
      </c>
      <c r="E29" s="20">
        <v>6.0000000000000001E-3</v>
      </c>
      <c r="F29" s="25">
        <f t="shared" si="0"/>
        <v>564</v>
      </c>
      <c r="G29" s="27" t="s">
        <v>103</v>
      </c>
      <c r="H29" s="20" t="s">
        <v>66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>
        <v>45663</v>
      </c>
      <c r="B30" s="25" t="s">
        <v>127</v>
      </c>
      <c r="C30" s="20" t="s">
        <v>54</v>
      </c>
      <c r="D30" s="20">
        <v>100000</v>
      </c>
      <c r="E30" s="20">
        <v>2.7399999999999998E-3</v>
      </c>
      <c r="F30" s="25">
        <f t="shared" si="0"/>
        <v>274</v>
      </c>
      <c r="G30" s="27" t="s">
        <v>86</v>
      </c>
      <c r="H30" s="20" t="s">
        <v>66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>
        <v>45670</v>
      </c>
      <c r="B31" s="25" t="s">
        <v>124</v>
      </c>
      <c r="C31" s="20"/>
      <c r="D31" s="20"/>
      <c r="E31" s="20"/>
      <c r="F31" s="25">
        <v>115.38</v>
      </c>
      <c r="G31" s="20" t="s">
        <v>108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>
        <v>45676</v>
      </c>
      <c r="B32" s="25" t="s">
        <v>127</v>
      </c>
      <c r="C32" s="20" t="s">
        <v>54</v>
      </c>
      <c r="D32" s="20">
        <v>104215</v>
      </c>
      <c r="E32" s="20">
        <v>7.3999999999999999E-4</v>
      </c>
      <c r="F32" s="25">
        <f>IF(B32="Buy",(-1)*D32*E32,D32*E32)</f>
        <v>77.119100000000003</v>
      </c>
      <c r="G32" s="27" t="s">
        <v>89</v>
      </c>
      <c r="H32" s="20" t="s">
        <v>66</v>
      </c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3">
        <v>45678</v>
      </c>
      <c r="B33" s="25" t="s">
        <v>124</v>
      </c>
      <c r="C33" s="20"/>
      <c r="D33" s="20"/>
      <c r="E33" s="20"/>
      <c r="F33" s="25">
        <v>384.6</v>
      </c>
      <c r="G33" s="20" t="s">
        <v>109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3">
        <v>45716</v>
      </c>
      <c r="B34" s="25" t="s">
        <v>125</v>
      </c>
      <c r="C34" s="20" t="s">
        <v>34</v>
      </c>
      <c r="D34" s="20">
        <v>2100</v>
      </c>
      <c r="E34" s="20">
        <v>7.1400000000000005E-2</v>
      </c>
      <c r="F34" s="25">
        <f>IF(B34="Buy",(-1)*D34*E34,D34*E34)</f>
        <v>-149.94</v>
      </c>
      <c r="G34" s="20" t="s">
        <v>91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73">
        <v>45670</v>
      </c>
      <c r="B35" s="25" t="s">
        <v>125</v>
      </c>
      <c r="C35" s="20" t="s">
        <v>34</v>
      </c>
      <c r="D35" s="20">
        <v>3043</v>
      </c>
      <c r="E35" s="20">
        <v>4.0399999999999998E-2</v>
      </c>
      <c r="F35" s="25">
        <f>IF(B35="Buy",(-1)*D35*E35,D35*E35)</f>
        <v>-122.93719999999999</v>
      </c>
      <c r="G35" s="20" t="s">
        <v>96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73">
        <v>45672</v>
      </c>
      <c r="B36" s="25" t="s">
        <v>127</v>
      </c>
      <c r="C36" s="20" t="s">
        <v>54</v>
      </c>
      <c r="D36" s="20">
        <v>99000</v>
      </c>
      <c r="E36" s="20">
        <v>3.21419E-3</v>
      </c>
      <c r="F36" s="25">
        <f>IF(B36="Buy",(-1)*D36*E36,D36*E36)</f>
        <v>318.20481000000001</v>
      </c>
      <c r="G36" s="20" t="s">
        <v>97</v>
      </c>
      <c r="H36" s="20" t="s">
        <v>72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73">
        <v>45676</v>
      </c>
      <c r="B37" s="25" t="s">
        <v>127</v>
      </c>
      <c r="C37" s="20" t="s">
        <v>54</v>
      </c>
      <c r="D37" s="20">
        <v>103753</v>
      </c>
      <c r="E37" s="20">
        <v>1.0399999999999999E-4</v>
      </c>
      <c r="F37" s="25">
        <f>IF(B37="Buy",(-1)*D37*E37,D37*E37)</f>
        <v>10.790312</v>
      </c>
      <c r="G37" s="20" t="s">
        <v>104</v>
      </c>
      <c r="H37" s="20" t="s">
        <v>72</v>
      </c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ht="25.5" x14ac:dyDescent="0.2">
      <c r="A38" s="73">
        <v>45750</v>
      </c>
      <c r="B38" s="25" t="s">
        <v>127</v>
      </c>
      <c r="C38" s="20" t="s">
        <v>54</v>
      </c>
      <c r="D38" s="20">
        <v>83000</v>
      </c>
      <c r="E38" s="20">
        <v>2E-3</v>
      </c>
      <c r="F38" s="25">
        <f>IF(B38="Buy",(-1)*D38*E38,D38*E38)</f>
        <v>166</v>
      </c>
      <c r="G38" s="20" t="s">
        <v>105</v>
      </c>
      <c r="H38" s="20" t="s">
        <v>66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ht="38.25" x14ac:dyDescent="0.2">
      <c r="A39" s="73">
        <v>45793</v>
      </c>
      <c r="B39" s="25" t="s">
        <v>124</v>
      </c>
      <c r="C39" s="20"/>
      <c r="D39" s="20"/>
      <c r="E39" s="20"/>
      <c r="F39" s="25">
        <v>1104</v>
      </c>
      <c r="G39" s="20" t="s">
        <v>110</v>
      </c>
      <c r="H39" s="20" t="s">
        <v>66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3">
        <v>45887</v>
      </c>
      <c r="B40" s="25" t="s">
        <v>125</v>
      </c>
      <c r="C40" s="20" t="s">
        <v>34</v>
      </c>
      <c r="D40" s="20">
        <v>4300</v>
      </c>
      <c r="E40" s="20">
        <v>4.6511627906976744E-2</v>
      </c>
      <c r="F40" s="25">
        <f>IF(B40="Buy",(-1)*D40*E40,D40*E40)</f>
        <v>-200</v>
      </c>
      <c r="G40" s="20" t="s">
        <v>128</v>
      </c>
      <c r="H40" s="20" t="s">
        <v>66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G41" s="20"/>
      <c r="H41" s="20" t="s">
        <v>72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G42" s="20"/>
      <c r="H42" s="20" t="s">
        <v>72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G43" s="20"/>
      <c r="H43" s="20" t="s">
        <v>151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G44" s="20"/>
      <c r="H44" s="20" t="s">
        <v>151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3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3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3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3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3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3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3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3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3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3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3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3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3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3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3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3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  <row r="214" spans="1:23" x14ac:dyDescent="0.2">
      <c r="A214" s="20"/>
      <c r="B214" s="20"/>
      <c r="C214" s="20"/>
      <c r="D214" s="20"/>
      <c r="E214" s="20"/>
      <c r="F214" s="20"/>
      <c r="G214" s="27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</row>
    <row r="215" spans="1:23" x14ac:dyDescent="0.2">
      <c r="A215" s="20"/>
      <c r="B215" s="20"/>
      <c r="C215" s="20"/>
      <c r="D215" s="20"/>
      <c r="E215" s="20"/>
      <c r="F215" s="20"/>
      <c r="G215" s="27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</row>
    <row r="216" spans="1:23" x14ac:dyDescent="0.2">
      <c r="A216" s="20"/>
      <c r="B216" s="20"/>
      <c r="C216" s="20"/>
      <c r="D216" s="20"/>
      <c r="E216" s="20"/>
      <c r="F216" s="20"/>
      <c r="G216" s="27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</row>
    <row r="217" spans="1:23" x14ac:dyDescent="0.2">
      <c r="A217" s="20"/>
      <c r="B217" s="20"/>
      <c r="C217" s="20"/>
      <c r="D217" s="20"/>
      <c r="E217" s="20"/>
      <c r="F217" s="20"/>
      <c r="G217" s="27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</row>
    <row r="218" spans="1:23" x14ac:dyDescent="0.2">
      <c r="A218" s="20"/>
      <c r="B218" s="20"/>
      <c r="C218" s="20"/>
      <c r="D218" s="20"/>
      <c r="E218" s="20"/>
      <c r="F218" s="20"/>
      <c r="G218" s="27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</row>
    <row r="219" spans="1:23" x14ac:dyDescent="0.2">
      <c r="A219" s="20"/>
      <c r="B219" s="20"/>
      <c r="C219" s="20"/>
      <c r="D219" s="20"/>
      <c r="E219" s="20"/>
      <c r="F219" s="20"/>
      <c r="G219" s="27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</row>
    <row r="220" spans="1:23" x14ac:dyDescent="0.2">
      <c r="A220" s="20"/>
      <c r="B220" s="20"/>
      <c r="C220" s="20"/>
      <c r="D220" s="20"/>
      <c r="E220" s="20"/>
      <c r="F220" s="20"/>
      <c r="G220" s="27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</row>
    <row r="221" spans="1:23" x14ac:dyDescent="0.2">
      <c r="A221" s="20"/>
      <c r="B221" s="20"/>
      <c r="C221" s="20"/>
      <c r="D221" s="20"/>
      <c r="E221" s="20"/>
      <c r="F221" s="20"/>
      <c r="G221" s="27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</row>
    <row r="222" spans="1:23" x14ac:dyDescent="0.2">
      <c r="A222" s="20"/>
      <c r="B222" s="20"/>
      <c r="C222" s="20"/>
      <c r="D222" s="20"/>
      <c r="E222" s="20"/>
      <c r="F222" s="20"/>
      <c r="G222" s="27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</row>
    <row r="223" spans="1:23" x14ac:dyDescent="0.2">
      <c r="A223" s="20"/>
      <c r="B223" s="20"/>
      <c r="C223" s="20"/>
      <c r="D223" s="20"/>
      <c r="E223" s="20"/>
      <c r="F223" s="20"/>
      <c r="G223" s="27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</row>
    <row r="224" spans="1:23" x14ac:dyDescent="0.2">
      <c r="A224" s="20"/>
      <c r="B224" s="20"/>
      <c r="C224" s="20"/>
      <c r="D224" s="20"/>
      <c r="E224" s="20"/>
      <c r="F224" s="20"/>
      <c r="G224" s="27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</row>
    <row r="225" spans="1:23" x14ac:dyDescent="0.2">
      <c r="A225" s="20"/>
      <c r="B225" s="20"/>
      <c r="C225" s="20"/>
      <c r="D225" s="20"/>
      <c r="E225" s="20"/>
      <c r="F225" s="20"/>
      <c r="G225" s="27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</row>
    <row r="226" spans="1:23" x14ac:dyDescent="0.2">
      <c r="A226" s="20"/>
      <c r="B226" s="20"/>
      <c r="C226" s="20"/>
      <c r="D226" s="20"/>
      <c r="E226" s="20"/>
      <c r="F226" s="20"/>
      <c r="G226" s="27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</row>
    <row r="227" spans="1:23" x14ac:dyDescent="0.2">
      <c r="A227" s="20"/>
      <c r="B227" s="20"/>
      <c r="C227" s="20"/>
      <c r="D227" s="20"/>
      <c r="E227" s="20"/>
      <c r="F227" s="20"/>
      <c r="G227" s="27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</row>
    <row r="228" spans="1:23" x14ac:dyDescent="0.2">
      <c r="A228" s="20"/>
      <c r="B228" s="20"/>
      <c r="C228" s="20"/>
      <c r="D228" s="20"/>
      <c r="E228" s="20"/>
      <c r="F228" s="20"/>
      <c r="G228" s="27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</row>
    <row r="229" spans="1:23" x14ac:dyDescent="0.2">
      <c r="A229" s="20"/>
      <c r="B229" s="20"/>
      <c r="C229" s="20"/>
      <c r="D229" s="20"/>
      <c r="E229" s="20"/>
      <c r="F229" s="20"/>
      <c r="G229" s="27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</row>
    <row r="230" spans="1:23" x14ac:dyDescent="0.2">
      <c r="A230" s="20"/>
      <c r="B230" s="20"/>
      <c r="C230" s="20"/>
      <c r="D230" s="20"/>
      <c r="E230" s="20"/>
      <c r="F230" s="20"/>
      <c r="G230" s="27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</row>
    <row r="231" spans="1:23" x14ac:dyDescent="0.2">
      <c r="A231" s="20"/>
      <c r="B231" s="20"/>
      <c r="C231" s="20"/>
      <c r="D231" s="20"/>
      <c r="E231" s="20"/>
      <c r="F231" s="20"/>
      <c r="G231" s="27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</row>
    <row r="232" spans="1:23" x14ac:dyDescent="0.2">
      <c r="A232" s="20"/>
      <c r="B232" s="20"/>
      <c r="C232" s="20"/>
      <c r="D232" s="20"/>
      <c r="E232" s="20"/>
      <c r="F232" s="20"/>
      <c r="G232" s="27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</row>
    <row r="233" spans="1:23" x14ac:dyDescent="0.2">
      <c r="A233" s="20"/>
      <c r="B233" s="20"/>
      <c r="C233" s="20"/>
      <c r="D233" s="20"/>
      <c r="E233" s="20"/>
      <c r="F233" s="20"/>
      <c r="G233" s="27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</row>
    <row r="234" spans="1:23" x14ac:dyDescent="0.2">
      <c r="A234" s="20"/>
      <c r="B234" s="20"/>
      <c r="C234" s="20"/>
      <c r="D234" s="20"/>
      <c r="E234" s="20"/>
      <c r="F234" s="20"/>
      <c r="G234" s="27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</row>
    <row r="235" spans="1:23" x14ac:dyDescent="0.2">
      <c r="A235" s="20"/>
      <c r="B235" s="20"/>
      <c r="C235" s="20"/>
      <c r="D235" s="20"/>
      <c r="E235" s="20"/>
      <c r="F235" s="20"/>
      <c r="G235" s="27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</row>
  </sheetData>
  <autoFilter ref="A2:W44" xr:uid="{00000000-0009-0000-0000-000002000000}"/>
  <dataValidations count="1">
    <dataValidation type="list" allowBlank="1" showInputMessage="1" showErrorMessage="1" sqref="B3:B40" xr:uid="{521E7744-46A5-46B8-84B1-B53883A2AC09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B5:J21"/>
  <sheetViews>
    <sheetView zoomScale="145" zoomScaleNormal="145" workbookViewId="0">
      <selection activeCell="I10" sqref="I10"/>
    </sheetView>
  </sheetViews>
  <sheetFormatPr defaultRowHeight="12.75" x14ac:dyDescent="0.2"/>
  <cols>
    <col min="4" max="4" width="12" customWidth="1"/>
    <col min="10" max="10" width="13.42578125" customWidth="1"/>
  </cols>
  <sheetData>
    <row r="5" spans="2:10" x14ac:dyDescent="0.2">
      <c r="C5" t="s">
        <v>61</v>
      </c>
      <c r="D5" t="s">
        <v>79</v>
      </c>
      <c r="E5" t="s">
        <v>80</v>
      </c>
    </row>
    <row r="6" spans="2:10" x14ac:dyDescent="0.2">
      <c r="B6" s="14" t="s">
        <v>54</v>
      </c>
      <c r="C6">
        <v>1.1480000000000001E-2</v>
      </c>
      <c r="D6">
        <v>1.221419E-2</v>
      </c>
      <c r="J6" s="59"/>
    </row>
    <row r="7" spans="2:10" x14ac:dyDescent="0.2">
      <c r="B7" s="49" t="s">
        <v>34</v>
      </c>
      <c r="C7">
        <v>0.16279299999999999</v>
      </c>
      <c r="D7">
        <v>0.19206216000000001</v>
      </c>
      <c r="J7" s="59"/>
    </row>
    <row r="8" spans="2:10" x14ac:dyDescent="0.2">
      <c r="B8" s="49" t="s">
        <v>35</v>
      </c>
      <c r="C8">
        <v>0.14549999999999999</v>
      </c>
      <c r="J8" s="59"/>
    </row>
    <row r="9" spans="2:10" x14ac:dyDescent="0.2">
      <c r="B9" s="49" t="s">
        <v>36</v>
      </c>
      <c r="C9">
        <v>4.1468800000000003</v>
      </c>
      <c r="J9" s="59"/>
    </row>
    <row r="10" spans="2:10" x14ac:dyDescent="0.2">
      <c r="B10" s="49" t="s">
        <v>37</v>
      </c>
      <c r="C10">
        <v>141.71</v>
      </c>
      <c r="J10" s="59"/>
    </row>
    <row r="11" spans="2:10" x14ac:dyDescent="0.2">
      <c r="B11" s="49" t="s">
        <v>43</v>
      </c>
      <c r="E11">
        <v>69.8</v>
      </c>
      <c r="J11" s="59"/>
    </row>
    <row r="12" spans="2:10" x14ac:dyDescent="0.2">
      <c r="B12" s="49" t="s">
        <v>46</v>
      </c>
      <c r="C12">
        <v>10</v>
      </c>
      <c r="J12" s="59"/>
    </row>
    <row r="13" spans="2:10" x14ac:dyDescent="0.2">
      <c r="B13" s="14" t="s">
        <v>47</v>
      </c>
      <c r="C13">
        <v>0.6</v>
      </c>
      <c r="J13" s="59"/>
    </row>
    <row r="14" spans="2:10" x14ac:dyDescent="0.2">
      <c r="B14" s="14" t="s">
        <v>49</v>
      </c>
      <c r="C14">
        <v>200</v>
      </c>
      <c r="J14" s="59"/>
    </row>
    <row r="15" spans="2:10" x14ac:dyDescent="0.2">
      <c r="B15" s="14" t="s">
        <v>51</v>
      </c>
      <c r="E15">
        <v>9.8000000000000007</v>
      </c>
      <c r="J15" s="59"/>
    </row>
    <row r="20" spans="2:4" x14ac:dyDescent="0.2">
      <c r="B20" t="s">
        <v>98</v>
      </c>
      <c r="C20" t="s">
        <v>99</v>
      </c>
      <c r="D20" t="s">
        <v>100</v>
      </c>
    </row>
    <row r="21" spans="2:4" x14ac:dyDescent="0.2">
      <c r="B21" t="s">
        <v>98</v>
      </c>
      <c r="C21" t="s">
        <v>101</v>
      </c>
      <c r="D21" t="s">
        <v>102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Dashboard</vt:lpstr>
      <vt:lpstr>Monthly_Review</vt:lpstr>
      <vt:lpstr>Position</vt:lpstr>
      <vt:lpstr>Portfolio_bk</vt:lpstr>
      <vt:lpstr>Order_History</vt:lpstr>
      <vt:lpstr>Sheet1</vt:lpstr>
      <vt:lpstr>Daily_Snapshot</vt:lpstr>
      <vt:lpstr>Catagory</vt:lpstr>
      <vt:lpstr>Order_History (2)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2025-09-05T14:17:54Z</dcterms:modified>
</cp:coreProperties>
</file>