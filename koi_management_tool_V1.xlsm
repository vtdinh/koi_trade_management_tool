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1F6F6FE8-AE3D-407B-80E9-D44A7AA98AFD}" xr6:coauthVersionLast="47" xr6:coauthVersionMax="47" xr10:uidLastSave="{00000000-0000-0000-0000-000000000000}"/>
  <bookViews>
    <workbookView xWindow="-45" yWindow="90" windowWidth="19290" windowHeight="9525" tabRatio="787" activeTab="6" xr2:uid="{00000000-000D-0000-FFFF-FFFF00000000}"/>
  </bookViews>
  <sheets>
    <sheet name="Dashboard" sheetId="25" r:id="rId1"/>
    <sheet name="Monthly_Review" sheetId="17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Order_History!$A$2:$W$15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Order_History!$A$2:$C$25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8" l="1"/>
  <c r="F10" i="18"/>
  <c r="F9" i="18"/>
  <c r="F8" i="18"/>
  <c r="F7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<sst xmlns="http://schemas.openxmlformats.org/spreadsheetml/2006/main" count="455" uniqueCount="163">
  <si>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</si>
  <si>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</si>
  <si>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</si>
  <si>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</si>
  <si>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</si>
  <si>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</si>
  <si>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</si>
  <si>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</si>
  <si>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</si>
  <si>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</si>
  <si>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</si>
  <si>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</si>
  <si>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</si>
  <si>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</si>
  <si>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</si>
  <si>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</si>
  <si>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</si>
  <si>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</si>
  <si>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</si>
  <si>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</si>
  <si>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</si>
  <si>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</si>
  <si>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</si>
  <si>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</si>
  <si>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</si>
  <si>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</si>
  <si>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</si>
  <si>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</si>
  <si>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</si>
  <si>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</si>
  <si>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</si>
  <si>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</si>
  <si>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</si>
  <si>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</si>
  <si>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</si>
  <si>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</si>
  <si>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</si>
  <si>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</si>
  <si>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</si>
  <si>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</si>
  <si>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</si>
  <si>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</si>
  <si>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</si>
  <si>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</si>
  <si>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</si>
  <si>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</si>
  <si>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</si>
  <si>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</si>
  <si>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</si>
  <si>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</si>
  <si>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</si>
  <si>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</si>
  <si>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</si>
  <si>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</si>
  <si>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</si>
  <si>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</si>
  <si>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</si>
  <si>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</si>
  <si>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</si>
  <si>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</si>
  <si>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</si>
  <si>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</si>
  <si>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</si>
  <si>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</si>
  <si>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</si>
  <si>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</si>
  <si>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</si>
  <si>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</si>
  <si>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</si>
  <si>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</si>
  <si>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</si>
  <si>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</si>
  <si>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</si>
  <si>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</si>
  <si>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</si>
  <si>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</si>
  <si>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</si>
  <si>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</si>
  <si>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</si>
  <si>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</si>
  <si>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</si>
  <si>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</si>
  <si>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</si>
  <si>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</si>
  <si>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</si>
  <si>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</si>
  <si>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</si>
  <si>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</si>
  <si>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</si>
  <si>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</si>
  <si>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</si>
  <si>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</si>
  <si>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</si>
  <si>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</si>
  <si>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</si>
  <si>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</si>
  <si>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</si>
  <si>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</si>
  <si>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</si>
  <si>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</si>
  <si>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</si>
  <si>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</si>
  <si>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</si>
  <si>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</si>
  <si>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</si>
  <si>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</si>
  <si>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</si>
  <si>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</si>
  <si>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</si>
  <si>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</si>
  <si>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</si>
  <si>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</si>
  <si>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Cơ cấu danh mục (tiền/coin)</t>
  </si>
  <si>
    <t>Cơ cấu danh mục (btc, alt top, alt rác)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</si>
  <si>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</si>
  <si>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</si>
  <si>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</si>
  <si>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</si>
  <si>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</si>
  <si>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</si>
  <si>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</si>
  <si>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</si>
  <si>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</si>
  <si>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</si>
  <si>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</si>
  <si>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</si>
  <si>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</si>
  <si>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</si>
  <si>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</si>
  <si>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</si>
  <si>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</si>
  <si>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</si>
  <si>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</si>
  <si>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</si>
  <si>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</si>
  <si>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</si>
  <si>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</si>
  <si>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</si>
  <si>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</si>
  <si>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</si>
  <si>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</si>
  <si>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</si>
  <si>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</si>
  <si>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</si>
  <si>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</si>
  <si>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</si>
  <si>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</si>
  <si>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</si>
  <si>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/>
  </si>
  <si>
    <t>Until date</t>
  </si>
  <si>
    <t>(UTC+7)</t>
  </si>
  <si>
    <t>bybit</t>
  </si>
  <si>
    <t>Cash</t>
  </si>
  <si>
    <t>ETH: 4,010; SOL: 354</t>
  </si>
  <si>
    <t>ETH: 3,612</t>
  </si>
  <si>
    <t>ETH: 2,295</t>
  </si>
  <si>
    <t>XRP</t>
  </si>
  <si>
    <t>TRUMP</t>
  </si>
  <si>
    <t>Alt.LOW</t>
  </si>
  <si>
    <t>Alt.MID</t>
  </si>
  <si>
    <t>Alt.TOP</t>
  </si>
  <si>
    <t>PEPE</t>
  </si>
  <si>
    <t>XLM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</si>
</sst>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2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3" fontId="21" fillId="0" borderId="6" xfId="0" applyNumberFormat="1" applyFont="1" applyBorder="1" applyAlignment="1">
      <alignment horizontal="right" vertical="center"/>
    </xf>
    <xf numFmtId="10" fontId="21" fillId="0" borderId="1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Cash vs Coin Balance
</a:t>
            </a:r>
            <a:r>
              <a:rPr lang="en-US" sz="1000"/>
              <a:t>2025-08-19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Cash vs Coin</c:v>
          </c:tx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Cash – 20.9% (1,232)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B7A-459A-AC16-BBC87BCBDB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Coin – 79.1% (4,676)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B7A-459A-AC16-BBC87BCBDBA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1232</c:v>
              </c:pt>
              <c:pt idx="1">
                <c:v>4675.6396436200002</c:v>
              </c:pt>
            </c:numLit>
          </c:val>
          <c:extLst>
            <c:ext xmlns:c16="http://schemas.microsoft.com/office/drawing/2014/chart" uri="{C3380CC4-5D6E-409C-BE32-E72D297353CC}">
              <c16:uniqueId val="{00000003-DB7A-459A-AC16-BBC87BCBD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5E6-40CF-ADE6-6FDAD6507902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A5E6-40CF-ADE6-6FDAD6507902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Daily_Snapshot!#REF!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5E6-40CF-ADE6-6FDAD65079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8879"/>
        <c:axId val="1078909359"/>
      </c:areaChart>
      <c:catAx>
        <c:axId val="1078908879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78909359"/>
        <c:crosses val="autoZero"/>
        <c:auto val="1"/>
        <c:lblAlgn val="ctr"/>
        <c:lblOffset val="100"/>
        <c:noMultiLvlLbl val="1"/>
      </c:catAx>
      <c:valAx>
        <c:axId val="107890935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887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BTC vs Alt.TOP vs Alt.MEME
8/19/2025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BTC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F4-4B84-A5A2-70299B337ABD}"/>
            </c:ext>
          </c:extLst>
        </c:ser>
        <c:ser>
          <c:idx val="1"/>
          <c:order val="1"/>
          <c:tx>
            <c:v>Alt.TOP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F4-4B84-A5A2-70299B337ABD}"/>
            </c:ext>
          </c:extLst>
        </c:ser>
        <c:ser>
          <c:idx val="2"/>
          <c:order val="2"/>
          <c:tx>
            <c:v>Alt.MEME</c:v>
          </c:tx>
          <c:spPr>
            <a:ln w="25400">
              <a:noFill/>
            </a:ln>
          </c:spPr>
          <c:cat>
            <c:numRef>
              <c:f>Daily_Snapshot!$A$2:$A$11</c:f>
              <c:numCache>
                <c:formatCode>yyyy\-mm\-dd</c:formatCode>
                <c:ptCount val="10"/>
                <c:pt idx="0">
                  <c:v>45870</c:v>
                </c:pt>
                <c:pt idx="1">
                  <c:v>45871</c:v>
                </c:pt>
                <c:pt idx="2">
                  <c:v>45872</c:v>
                </c:pt>
                <c:pt idx="3">
                  <c:v>45873</c:v>
                </c:pt>
                <c:pt idx="4">
                  <c:v>45874</c:v>
                </c:pt>
                <c:pt idx="5">
                  <c:v>45875</c:v>
                </c:pt>
                <c:pt idx="6">
                  <c:v>45876</c:v>
                </c:pt>
                <c:pt idx="7">
                  <c:v>45877</c:v>
                </c:pt>
                <c:pt idx="8">
                  <c:v>45879</c:v>
                </c:pt>
                <c:pt idx="9">
                  <c:v>45881</c:v>
                </c:pt>
              </c:numCache>
            </c:numRef>
          </c:cat>
          <c:val>
            <c:numRef>
              <c:f>Daily_Snapshot!#REF!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2F4-4B84-A5A2-70299B337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8903119"/>
        <c:axId val="1078903599"/>
      </c:areaChart>
      <c:catAx>
        <c:axId val="107890311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78903599"/>
        <c:crosses val="autoZero"/>
        <c:auto val="0"/>
        <c:lblAlgn val="ctr"/>
        <c:lblOffset val="100"/>
        <c:tickLblSkip val="1"/>
        <c:noMultiLvlLbl val="0"/>
      </c:catAx>
      <c:valAx>
        <c:axId val="107890359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07890311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500</c:v>
              </c:pt>
              <c:pt idx="1">
                <c:v>3612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3612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ETH</c:v>
              </c:pt>
            </c:strLit>
          </c:cat>
          <c:val>
            <c:numLit>
              <c:formatCode>General</c:formatCode>
              <c:ptCount val="1"/>
              <c:pt idx="0">
                <c:v>3612</c:v>
              </c:pt>
            </c:numLit>
          </c:val>
          <c:extLst>
            <c:ext xmlns:c16="http://schemas.microsoft.com/office/drawing/2014/chart" uri="{C3380CC4-5D6E-409C-BE32-E72D297353CC}">
              <c16:uniqueId val="{00000001-CAC6-415C-9225-6B390322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558800</xdr:colOff>
      <xdr:row>4</xdr:row>
      <xdr:rowOff>114300</xdr:rowOff>
    </xdr:from>
    <xdr:to>
      <xdr:col>25</xdr:col>
      <xdr:colOff>254000</xdr:colOff>
      <xdr:row>28</xdr:row>
      <xdr:rowOff>38100</xdr:rowOff>
    </xdr:to>
    <xdr:graphicFrame macro="">
      <xdr:nvGraphicFramePr>
        <xdr:cNvPr id="8" name="CashCoinPie">
          <a:extLst>
            <a:ext uri="{FF2B5EF4-FFF2-40B4-BE49-F238E27FC236}">
              <a16:creationId xmlns:a16="http://schemas.microsoft.com/office/drawing/2014/main" id="{421B81BE-1829-2B91-C8AF-5D9C05D1CE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4B91FB1-4AFE-64AE-34B7-11C28030F1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152400</xdr:colOff>
      <xdr:row>35</xdr:row>
      <xdr:rowOff>47625</xdr:rowOff>
    </xdr:from>
    <xdr:to>
      <xdr:col>17</xdr:col>
      <xdr:colOff>50800</xdr:colOff>
      <xdr:row>63</xdr:row>
      <xdr:rowOff>85725</xdr:rowOff>
    </xdr:to>
    <xdr:graphicFrame macro="">
      <xdr:nvGraphicFramePr>
        <xdr:cNvPr id="12" name="CompositionChart">
          <a:extLst>
            <a:ext uri="{FF2B5EF4-FFF2-40B4-BE49-F238E27FC236}">
              <a16:creationId xmlns:a16="http://schemas.microsoft.com/office/drawing/2014/main" id="{67336362-FE4C-1213-53AE-6A2677184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320952</xdr:colOff>
          <xdr:row>0</xdr:row>
          <xdr:rowOff>165238</xdr:rowOff>
        </xdr:from>
        <xdr:to>
          <xdr:col>8</xdr:col>
          <xdr:colOff>204166</xdr:colOff>
          <xdr:row>3</xdr:row>
          <xdr:rowOff>23605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5</xdr:col>
      <xdr:colOff>282071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563388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  <row r="60">
          <cell r="Z60" t="str">
            <v>BTC</v>
          </cell>
          <cell r="AA60">
            <v>1233</v>
          </cell>
        </row>
        <row r="61">
          <cell r="Z61" t="str">
            <v>Alt.TOP</v>
          </cell>
          <cell r="AA61">
            <v>0</v>
          </cell>
        </row>
        <row r="62">
          <cell r="Z62" t="str">
            <v>Alt.MID</v>
          </cell>
          <cell r="AA62">
            <v>0</v>
          </cell>
        </row>
        <row r="63">
          <cell r="Z63" t="str">
            <v>Alt.LOW</v>
          </cell>
          <cell r="AA63">
            <v>962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0157-53FA-41B2-9100-018E86C45F9E}">
  <sheetPr codeName="Sheet4"/>
  <dimension ref="B3:G3"/>
  <sheetViews>
    <sheetView topLeftCell="C43" zoomScaleNormal="100" workbookViewId="0">
      <selection activeCell="S52" sqref="S52"/>
    </sheetView>
  </sheetViews>
  <sheetFormatPr defaultRowHeight="12.75" x14ac:dyDescent="0.2"/>
  <sheetData>
    <row r="3" spans="2:7" x14ac:dyDescent="0.2">
      <c r="B3" s="57" t="s">
        <v>112</v>
      </c>
      <c r="G3" s="57" t="s">
        <v>113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13" sqref="F13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85" zoomScaleNormal="85" workbookViewId="0">
      <selection activeCell="Q13" sqref="Q13"/>
    </sheetView>
  </sheetViews>
  <sheetFormatPr defaultColWidth="14.42578125" defaultRowHeight="15" customHeight="1" x14ac:dyDescent="0.2"/>
  <cols>
    <col min="1" max="1" width="15.140625" bestFit="1" customWidth="1"/>
    <col min="2" max="2" width="10.7109375" bestFit="1" customWidth="1"/>
    <col min="3" max="3" width="16" bestFit="1" customWidth="1"/>
    <col min="4" max="4" width="16.42578125" bestFit="1" customWidth="1"/>
    <col min="5" max="6" width="5.7109375" bestFit="1" customWidth="1"/>
    <col min="7" max="7" width="9.140625" bestFit="1" customWidth="1"/>
    <col min="8" max="9" width="8.140625" bestFit="1" customWidth="1"/>
    <col min="10" max="10" width="10" bestFit="1" customWidth="1"/>
    <col min="11" max="11" width="8.5703125" bestFit="1" customWidth="1"/>
    <col min="12" max="13" width="9.5703125" bestFit="1" customWidth="1"/>
    <col min="14" max="14" width="4.85546875" bestFit="1" customWidth="1"/>
    <col min="15" max="15" width="7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137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149</v>
      </c>
      <c r="B3" s="78">
        <v>45874</v>
      </c>
      <c r="C3" s="3" t="s">
        <v>150</v>
      </c>
      <c r="F3" s="57"/>
      <c r="H3" s="3"/>
      <c r="N3" s="10"/>
      <c r="O3" s="10"/>
    </row>
    <row r="4" spans="1:16" ht="15.75" customHeight="1" x14ac:dyDescent="0.2">
      <c r="A4" s="5"/>
      <c r="B4" s="105"/>
      <c r="C4" s="3"/>
      <c r="F4" s="57"/>
      <c r="H4" s="3"/>
      <c r="N4" s="10"/>
      <c r="O4" s="10"/>
    </row>
    <row r="5" spans="1:16" ht="15.75" customHeight="1" x14ac:dyDescent="0.2">
      <c r="A5" s="116" t="s">
        <v>152</v>
      </c>
      <c r="B5" s="77">
        <v>500</v>
      </c>
      <c r="F5" s="57"/>
      <c r="H5" s="3"/>
      <c r="N5" s="10"/>
      <c r="O5" s="10"/>
    </row>
    <row r="6" spans="1:16" ht="15.75" customHeight="1" x14ac:dyDescent="0.2">
      <c r="A6" s="116" t="s">
        <v>120</v>
      </c>
      <c r="B6" s="77">
        <v>3612</v>
      </c>
      <c r="F6" s="57"/>
      <c r="H6" s="3"/>
      <c r="N6" s="10"/>
      <c r="O6" s="10"/>
    </row>
    <row r="7" spans="1:16" ht="15.75" customHeight="1" x14ac:dyDescent="0.2">
      <c r="A7" s="116" t="s">
        <v>0</v>
      </c>
      <c r="B7" s="77">
        <v>4112</v>
      </c>
      <c r="F7" s="57"/>
      <c r="H7" s="3"/>
      <c r="N7" s="10"/>
      <c r="O7" s="10"/>
    </row>
    <row r="8" spans="1:16" ht="15.75" customHeight="1" x14ac:dyDescent="0.2">
      <c r="A8" s="115" t="s">
        <v>115</v>
      </c>
      <c r="B8" s="106">
        <v>5500</v>
      </c>
      <c r="D8" s="106"/>
      <c r="F8" s="57"/>
      <c r="H8" s="3"/>
      <c r="N8" s="10"/>
      <c r="O8" s="10"/>
    </row>
    <row r="9" spans="1:16" ht="15.75" customHeight="1" x14ac:dyDescent="0.2">
      <c r="A9" s="115" t="s">
        <v>116</v>
      </c>
      <c r="B9" s="106">
        <v>1000</v>
      </c>
      <c r="C9" s="115"/>
      <c r="D9" s="106"/>
      <c r="F9" s="57"/>
      <c r="H9" s="3"/>
      <c r="N9" s="10"/>
      <c r="O9" s="10"/>
    </row>
    <row r="10" spans="1:16" ht="15.75" customHeight="1" x14ac:dyDescent="0.2">
      <c r="A10" s="115" t="s">
        <v>117</v>
      </c>
      <c r="B10" s="106">
        <v>-388</v>
      </c>
      <c r="C10" s="115"/>
      <c r="D10" s="106"/>
      <c r="F10" s="57"/>
      <c r="H10" s="3"/>
      <c r="N10" s="10"/>
      <c r="O10" s="10"/>
    </row>
    <row r="11" spans="1:16" ht="86.25" customHeight="1" x14ac:dyDescent="0.2">
      <c r="A11" s="115"/>
      <c r="B11" s="3"/>
      <c r="C11" s="3"/>
      <c r="H11" s="3"/>
    </row>
    <row r="12" spans="1:16" ht="31.5" customHeight="1" x14ac:dyDescent="0.2">
      <c r="A12" s="11" t="s">
        <v>131</v>
      </c>
      <c r="B12" s="11" t="s">
        <v>120</v>
      </c>
      <c r="C12" s="11" t="s">
        <v>132</v>
      </c>
      <c r="D12" s="11" t="s">
        <v>133</v>
      </c>
      <c r="E12" s="11" t="s">
        <v>134</v>
      </c>
      <c r="F12" s="11" t="s">
        <v>135</v>
      </c>
      <c r="G12" s="11" t="s">
        <v>136</v>
      </c>
      <c r="H12" s="11" t="s">
        <v>138</v>
      </c>
      <c r="I12" s="11" t="s">
        <v>139</v>
      </c>
      <c r="J12" s="11" t="s">
        <v>140</v>
      </c>
      <c r="K12" s="11" t="s">
        <v>141</v>
      </c>
      <c r="L12" s="11" t="s">
        <v>144</v>
      </c>
      <c r="M12" s="11" t="s">
        <v>143</v>
      </c>
      <c r="N12" s="11" t="s">
        <v>145</v>
      </c>
      <c r="O12" s="11" t="s">
        <v>147</v>
      </c>
      <c r="P12" s="35" t="s">
        <v>146</v>
      </c>
    </row>
    <row r="13" spans="1:16" ht="15.75" customHeight="1" x14ac:dyDescent="0.2">
      <c r="A13" s="79" t="s">
        <v>130</v>
      </c>
      <c r="B13" s="79" t="s">
        <v>34</v>
      </c>
      <c r="C13" s="80">
        <v>45874.458333333336</v>
      </c>
      <c r="D13" s="81"/>
      <c r="E13" s="82">
        <v>1</v>
      </c>
      <c r="F13" s="83">
        <v>4000</v>
      </c>
      <c r="G13" s="90">
        <v>4000</v>
      </c>
      <c r="H13" s="84">
        <v>3612</v>
      </c>
      <c r="I13" s="82">
        <v>0</v>
      </c>
      <c r="J13" s="83">
        <v>0</v>
      </c>
      <c r="K13" s="85"/>
      <c r="L13" s="86">
        <v>1</v>
      </c>
      <c r="M13" s="87">
        <v>3612</v>
      </c>
      <c r="N13" s="117">
        <v>-388</v>
      </c>
      <c r="O13" s="118">
        <v>-9.7000000000000003E-2</v>
      </c>
      <c r="P13" s="88" t="s">
        <v>148</v>
      </c>
    </row>
    <row r="14" spans="1:16" ht="15.75" customHeight="1" x14ac:dyDescent="0.2">
      <c r="A14" s="79"/>
      <c r="B14" s="89"/>
      <c r="C14" s="80"/>
      <c r="D14" s="80"/>
      <c r="E14" s="82"/>
      <c r="F14" s="83"/>
      <c r="G14" s="90"/>
      <c r="H14" s="85"/>
      <c r="I14" s="86"/>
      <c r="J14" s="87"/>
      <c r="K14" s="90"/>
      <c r="L14" s="82"/>
      <c r="M14" s="91"/>
      <c r="N14" s="119"/>
      <c r="O14" s="118"/>
      <c r="P14" s="88"/>
    </row>
    <row r="15" spans="1:16" ht="15" customHeight="1" x14ac:dyDescent="0.2">
      <c r="A15" s="92"/>
      <c r="B15" s="92"/>
      <c r="C15" s="93"/>
      <c r="D15" s="93"/>
      <c r="E15" s="82"/>
      <c r="F15" s="83"/>
      <c r="G15" s="83"/>
      <c r="H15" s="85"/>
      <c r="I15" s="82"/>
      <c r="J15" s="83"/>
      <c r="K15" s="85"/>
      <c r="L15" s="82"/>
      <c r="M15" s="83"/>
      <c r="N15" s="103"/>
      <c r="O15" s="104"/>
      <c r="P15" s="96"/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118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6"/>
  <sheetViews>
    <sheetView zoomScale="160" zoomScaleNormal="160" workbookViewId="0">
      <pane ySplit="2" topLeftCell="A3" activePane="bottomLeft" state="frozen"/>
      <selection pane="bottomLeft" activeCell="F13" sqref="F13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142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124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126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124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125</v>
      </c>
      <c r="C6" s="25" t="s">
        <v>34</v>
      </c>
      <c r="D6" s="25">
        <v>4000</v>
      </c>
      <c r="E6" s="25">
        <v>1</v>
      </c>
      <c r="F6" s="25">
        <f t="shared" ref="F6:F11" si="0">E6*D6</f>
        <v>4000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45879</v>
      </c>
      <c r="B7" s="25" t="s">
        <v>127</v>
      </c>
      <c r="C7" s="25" t="s">
        <v>34</v>
      </c>
      <c r="D7" s="25">
        <v>4000</v>
      </c>
      <c r="E7" s="25">
        <v>0.5</v>
      </c>
      <c r="F7" s="25">
        <f t="shared" si="0"/>
        <v>2000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45875</v>
      </c>
      <c r="B8" s="25" t="s">
        <v>125</v>
      </c>
      <c r="C8" s="25" t="s">
        <v>35</v>
      </c>
      <c r="D8" s="25">
        <v>200</v>
      </c>
      <c r="E8" s="25">
        <v>2</v>
      </c>
      <c r="F8" s="25">
        <f t="shared" si="0"/>
        <v>400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45880</v>
      </c>
      <c r="B9" s="25" t="s">
        <v>127</v>
      </c>
      <c r="C9" s="25" t="s">
        <v>35</v>
      </c>
      <c r="D9" s="25">
        <v>170</v>
      </c>
      <c r="E9" s="25">
        <v>1</v>
      </c>
      <c r="F9" s="25">
        <f t="shared" si="0"/>
        <v>170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45881</v>
      </c>
      <c r="B10" s="25" t="s">
        <v>127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45882</v>
      </c>
      <c r="B11" s="25" t="s">
        <v>127</v>
      </c>
      <c r="C11" s="25" t="s">
        <v>34</v>
      </c>
      <c r="D11" s="25">
        <v>4000</v>
      </c>
      <c r="E11" s="25">
        <v>0.5</v>
      </c>
      <c r="F11" s="25">
        <f t="shared" si="0"/>
        <v>2000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45889</v>
      </c>
      <c r="B12" s="25" t="s">
        <v>126</v>
      </c>
      <c r="C12" s="25"/>
      <c r="D12" s="25"/>
      <c r="E12" s="25"/>
      <c r="F12" s="25">
        <v>1000</v>
      </c>
      <c r="G12" s="25"/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G13" s="20"/>
      <c r="H13" s="20" t="s">
        <v>72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151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151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3"/>
      <c r="B16" s="20"/>
      <c r="C16" s="20"/>
      <c r="D16" s="20"/>
      <c r="E16" s="20"/>
      <c r="F16" s="20"/>
      <c r="G16" s="27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20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</sheetData>
  <autoFilter ref="A2:W15" xr:uid="{00000000-0009-0000-0000-000002000000}"/>
  <dataValidations count="1">
    <dataValidation type="list" allowBlank="1" showInputMessage="1" showErrorMessage="1" sqref="B3:B12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125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127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125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127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114</v>
      </c>
      <c r="B9" s="21" t="s">
        <v>119</v>
      </c>
      <c r="C9" s="21" t="s">
        <v>120</v>
      </c>
      <c r="D9" s="22" t="s">
        <v>121</v>
      </c>
      <c r="E9" s="22" t="s">
        <v>129</v>
      </c>
      <c r="F9" s="22" t="s">
        <v>122</v>
      </c>
    </row>
    <row r="10" spans="1:6" x14ac:dyDescent="0.2">
      <c r="A10" s="72">
        <v>44873</v>
      </c>
      <c r="B10" s="25" t="s">
        <v>124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125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126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124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127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124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124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125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124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125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125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124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125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125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124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125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125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124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125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125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124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125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125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127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125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127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127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127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124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127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124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125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125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127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127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127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124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125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12"/>
  <sheetViews>
    <sheetView tabSelected="1" zoomScale="130" zoomScaleNormal="130" workbookViewId="0">
      <selection activeCell="G15" sqref="G15"/>
    </sheetView>
  </sheetViews>
  <sheetFormatPr defaultRowHeight="12.75" x14ac:dyDescent="0.2"/>
  <cols>
    <col min="1" max="1" width="10.28515625" style="70" bestFit="1" customWidth="1"/>
    <col min="2" max="4" width="5.5703125" style="23" bestFit="1" customWidth="1"/>
    <col min="5" max="5" width="12.7109375" style="23" bestFit="1" customWidth="1"/>
    <col min="6" max="6" width="14.7109375" style="23" bestFit="1" customWidth="1"/>
    <col min="7" max="7" width="10.85546875" style="23" bestFit="1" customWidth="1"/>
    <col min="8" max="8" width="10.28515625" style="23" bestFit="1" customWidth="1"/>
    <col min="9" max="11" width="7.85546875" style="23" customWidth="1"/>
    <col min="12" max="12" width="19.5703125" style="71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7" bestFit="1" customWidth="1"/>
    <col min="19" max="21" width="5.5703125" style="23" bestFit="1" customWidth="1"/>
  </cols>
  <sheetData>
    <row r="1" spans="1:21" s="114" customFormat="1" x14ac:dyDescent="0.2">
      <c r="A1" s="108" t="s">
        <v>114</v>
      </c>
      <c r="B1" s="109" t="s">
        <v>152</v>
      </c>
      <c r="C1" s="109" t="s">
        <v>120</v>
      </c>
      <c r="D1" s="109" t="s">
        <v>0</v>
      </c>
      <c r="E1" s="109" t="s">
        <v>115</v>
      </c>
      <c r="F1" s="110" t="s">
        <v>116</v>
      </c>
      <c r="G1" s="109" t="s">
        <v>117</v>
      </c>
      <c r="H1" s="37" t="s">
        <v>54</v>
      </c>
      <c r="I1" s="37" t="s">
        <v>160</v>
      </c>
      <c r="J1" s="37" t="s">
        <v>159</v>
      </c>
      <c r="K1" s="37" t="s">
        <v>158</v>
      </c>
      <c r="L1" s="111" t="s">
        <v>120</v>
      </c>
      <c r="M1" s="110"/>
      <c r="N1" s="111"/>
      <c r="O1" s="109"/>
      <c r="P1" s="109"/>
      <c r="Q1" s="112"/>
      <c r="R1" s="113"/>
      <c r="S1" s="109"/>
      <c r="T1" s="109"/>
      <c r="U1" s="109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</row>
    <row r="6" spans="1:21" x14ac:dyDescent="0.2">
      <c r="A6" s="70">
        <v>45874</v>
      </c>
      <c r="B6" s="23">
        <v>500</v>
      </c>
      <c r="C6" s="23">
        <v>3612</v>
      </c>
      <c r="D6" s="23">
        <v>4112</v>
      </c>
      <c r="E6" s="23">
        <v>5500</v>
      </c>
      <c r="F6" s="23">
        <v>1000</v>
      </c>
      <c r="G6" s="23">
        <v>-388</v>
      </c>
      <c r="H6" s="23" t="s">
        <v>154</v>
      </c>
    </row>
    <row r="7" spans="1:21" x14ac:dyDescent="0.2">
      <c r="A7" s="70">
        <v>45875</v>
      </c>
      <c r="B7" s="23">
        <v>100</v>
      </c>
      <c r="C7" s="23">
        <v>4019</v>
      </c>
      <c r="D7" s="23">
        <v>4119</v>
      </c>
      <c r="E7" s="23">
        <v>5500</v>
      </c>
      <c r="F7" s="23">
        <v>1000</v>
      </c>
      <c r="G7" s="23">
        <v>-381</v>
      </c>
    </row>
    <row r="8" spans="1:21" x14ac:dyDescent="0.2">
      <c r="A8" s="70">
        <v>45876</v>
      </c>
      <c r="B8" s="23">
        <v>100</v>
      </c>
      <c r="C8" s="23">
        <v>4261</v>
      </c>
      <c r="D8" s="23">
        <v>4361</v>
      </c>
      <c r="E8" s="23">
        <v>5500</v>
      </c>
      <c r="F8" s="23">
        <v>1000</v>
      </c>
      <c r="G8" s="23">
        <v>-139</v>
      </c>
    </row>
    <row r="9" spans="1:21" x14ac:dyDescent="0.2">
      <c r="A9" s="70">
        <v>45877</v>
      </c>
      <c r="B9" s="23">
        <v>100</v>
      </c>
      <c r="C9" s="23">
        <v>4363</v>
      </c>
      <c r="D9" s="23">
        <v>4463</v>
      </c>
      <c r="E9" s="23">
        <v>5500</v>
      </c>
      <c r="F9" s="23">
        <v>1000</v>
      </c>
      <c r="G9" s="23">
        <v>-37</v>
      </c>
      <c r="L9" s="71" t="s">
        <v>153</v>
      </c>
    </row>
    <row r="10" spans="1:21" x14ac:dyDescent="0.2">
      <c r="A10" s="70">
        <v>45879</v>
      </c>
      <c r="B10" s="23">
        <v>2100</v>
      </c>
      <c r="C10" s="23">
        <v>2491</v>
      </c>
      <c r="D10" s="23">
        <v>4591</v>
      </c>
    </row>
    <row r="11" spans="1:21" x14ac:dyDescent="0.2">
      <c r="A11" s="70">
        <v>45881</v>
      </c>
      <c r="B11" s="23">
        <v>2440</v>
      </c>
      <c r="C11" s="23">
        <v>2295</v>
      </c>
      <c r="D11" s="23">
        <v>4735</v>
      </c>
      <c r="E11" s="23">
        <v>5500</v>
      </c>
      <c r="F11" s="23">
        <v>1000</v>
      </c>
      <c r="G11" s="23">
        <v>235</v>
      </c>
      <c r="L11" s="71" t="s">
        <v>155</v>
      </c>
    </row>
    <row r="12" spans="1:21" x14ac:dyDescent="0.2">
      <c r="A12" s="70">
        <v>45882</v>
      </c>
      <c r="B12" s="23">
        <v>4440</v>
      </c>
      <c r="C12" s="23">
        <v>0</v>
      </c>
      <c r="D12" s="23">
        <v>4440</v>
      </c>
      <c r="E12" s="23">
        <v>5500</v>
      </c>
      <c r="F12" s="23">
        <v>1000</v>
      </c>
      <c r="G12" s="23">
        <v>-60</v>
      </c>
    </row>
  </sheetData>
  <sortState xmlns:xlrd2="http://schemas.microsoft.com/office/spreadsheetml/2017/richdata2" ref="A2:H12">
    <sortCondition ref="A2:A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20"/>
  </cols>
  <sheetData>
    <row r="1" spans="1:4" x14ac:dyDescent="0.2">
      <c r="A1" s="121" t="s">
        <v>54</v>
      </c>
      <c r="B1" s="121" t="s">
        <v>160</v>
      </c>
      <c r="C1" s="121" t="s">
        <v>159</v>
      </c>
      <c r="D1" s="121" t="s">
        <v>158</v>
      </c>
    </row>
    <row r="2" spans="1:4" x14ac:dyDescent="0.2">
      <c r="A2" s="120" t="s">
        <v>54</v>
      </c>
      <c r="B2" s="120" t="s">
        <v>34</v>
      </c>
      <c r="C2" s="120" t="s">
        <v>43</v>
      </c>
      <c r="D2" s="120" t="s">
        <v>157</v>
      </c>
    </row>
    <row r="3" spans="1:4" x14ac:dyDescent="0.2">
      <c r="B3" s="120" t="s">
        <v>162</v>
      </c>
      <c r="C3" s="120" t="s">
        <v>35</v>
      </c>
      <c r="D3" s="120" t="s">
        <v>161</v>
      </c>
    </row>
    <row r="4" spans="1:4" x14ac:dyDescent="0.2">
      <c r="B4" s="120" t="s">
        <v>37</v>
      </c>
      <c r="C4" s="120" t="s">
        <v>51</v>
      </c>
    </row>
    <row r="5" spans="1:4" x14ac:dyDescent="0.2">
      <c r="B5" s="120" t="s">
        <v>85</v>
      </c>
    </row>
    <row r="6" spans="1:4" x14ac:dyDescent="0.2">
      <c r="B6" s="120" t="s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114</v>
      </c>
      <c r="B2" s="21" t="s">
        <v>119</v>
      </c>
      <c r="C2" s="21" t="s">
        <v>120</v>
      </c>
      <c r="D2" s="22" t="s">
        <v>121</v>
      </c>
      <c r="E2" s="22" t="s">
        <v>129</v>
      </c>
      <c r="F2" s="22" t="s">
        <v>122</v>
      </c>
      <c r="G2" s="28" t="s">
        <v>123</v>
      </c>
      <c r="H2" s="37" t="s">
        <v>142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124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125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126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124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127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124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124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125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124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125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125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124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125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125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124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125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125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124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125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125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124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125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125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127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125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127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127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127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124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127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124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125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125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127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127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127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124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125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128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151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Dashboard</vt:lpstr>
      <vt:lpstr>Monthly_Review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2025-09-05T15:31:58Z</dcterms:modified>
</cp:coreProperties>
</file>