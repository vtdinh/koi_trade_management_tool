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\Desktop\vba_vscode\"/>
    </mc:Choice>
  </mc:AlternateContent>
  <xr:revisionPtr revIDLastSave="0" documentId="13_ncr:1_{CC8C7FD7-D8DE-4C6E-834C-1B1C3E0FAD6C}" xr6:coauthVersionLast="47" xr6:coauthVersionMax="47" xr10:uidLastSave="{00000000-0000-0000-0000-000000000000}"/>
  <bookViews>
    <workbookView xWindow="-120" yWindow="-120" windowWidth="38640" windowHeight="21120" tabRatio="787" firstSheet="1" activeTab="1" xr2:uid="{00000000-000D-0000-FFFF-FFFF00000000}"/>
  </bookViews>
  <sheets>
    <sheet name="Monthly_Review" sheetId="17" state="hidden" r:id="rId1"/>
    <sheet name="Dashboard" sheetId="35" r:id="rId2"/>
    <sheet name="Position" sheetId="31" r:id="rId3"/>
    <sheet name="Portfolio_bk" sheetId="16" state="hidden" r:id="rId4"/>
    <sheet name="Order_History" sheetId="18" r:id="rId5"/>
    <sheet name="Sheet1" sheetId="32" state="hidden" r:id="rId6"/>
    <sheet name="Daily_Snapshot" sheetId="27" r:id="rId7"/>
    <sheet name="Catagory" sheetId="34" r:id="rId8"/>
    <sheet name="Order_History (2)" sheetId="33" r:id="rId9"/>
    <sheet name="storage" sheetId="20" r:id="rId10"/>
  </sheets>
  <functionGroups builtInGroupCount="19"/>
  <externalReferences>
    <externalReference r:id="rId11"/>
  </externalReferences>
  <definedNames>
    <definedName name="_xlnm._FilterDatabase" localSheetId="4" hidden="1">Order_History!$A$2:$W$16</definedName>
    <definedName name="_xlnm._FilterDatabase" localSheetId="8" hidden="1">'Order_History (2)'!$A$2:$W$44</definedName>
    <definedName name="_xlnm._FilterDatabase" localSheetId="3" hidden="1">Portfolio_bk!$A$8:$D$29</definedName>
    <definedName name="_xlnm._FilterDatabase" localSheetId="2" hidden="1">Position!$A$12:$D$15</definedName>
    <definedName name="Z_0BDD3F89_E0CB_4EA4_8A53_3AADAAB98DEF_.wvu.FilterData" localSheetId="4" hidden="1">Order_History!$A$2:$C$26</definedName>
    <definedName name="Z_0BDD3F89_E0CB_4EA4_8A53_3AADAAB98DEF_.wvu.FilterData" localSheetId="8" hidden="1">'Order_History (2)'!$A$2:$C$54</definedName>
  </definedNames>
  <calcPr calcId="191029"/>
  <customWorkbookViews>
    <customWorkbookView name="Filter Mã" guid="{0BDD3F89-E0CB-4EA4-8A53-3AADAAB98DEF}" maximized="1" windowWidth="0" windowHeight="0" activeSheetId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" i="18" l="1"/>
  <c r="F11" i="18" l="1"/>
  <c r="F10" i="18"/>
  <c r="F9" i="18"/>
  <c r="F8" i="18"/>
  <c r="F6" i="18"/>
  <c r="F40" i="33"/>
  <c r="F38" i="33"/>
  <c r="F37" i="33"/>
  <c r="F36" i="33"/>
  <c r="F35" i="33"/>
  <c r="F34" i="33"/>
  <c r="F32" i="33"/>
  <c r="F30" i="33"/>
  <c r="F29" i="33"/>
  <c r="F28" i="33"/>
  <c r="F27" i="33"/>
  <c r="F26" i="33"/>
  <c r="F25" i="33"/>
  <c r="F24" i="33"/>
  <c r="F22" i="33"/>
  <c r="F21" i="33"/>
  <c r="F19" i="33"/>
  <c r="F18" i="33"/>
  <c r="F16" i="33"/>
  <c r="F15" i="33"/>
  <c r="F13" i="33"/>
  <c r="F12" i="33"/>
  <c r="F10" i="33"/>
  <c r="F7" i="33"/>
  <c r="F4" i="33"/>
  <c r="F47" i="32"/>
  <c r="F45" i="32"/>
  <c r="F44" i="32"/>
  <c r="F43" i="32"/>
  <c r="F42" i="32"/>
  <c r="F41" i="32"/>
  <c r="F39" i="32"/>
  <c r="F37" i="32"/>
  <c r="F36" i="32"/>
  <c r="F35" i="32"/>
  <c r="F34" i="32"/>
  <c r="F33" i="32"/>
  <c r="F32" i="32"/>
  <c r="F31" i="32"/>
  <c r="F29" i="32"/>
  <c r="F28" i="32"/>
  <c r="F26" i="32"/>
  <c r="F25" i="32"/>
  <c r="F23" i="32"/>
  <c r="F22" i="32"/>
  <c r="F20" i="32"/>
  <c r="F19" i="32"/>
  <c r="F17" i="32"/>
  <c r="F14" i="32"/>
  <c r="F11" i="32"/>
  <c r="F4" i="32"/>
  <c r="F3" i="32"/>
  <c r="F2" i="32"/>
  <c r="F1" i="32"/>
  <c r="M18" i="16"/>
  <c r="O18" i="16" s="1"/>
  <c r="P18" i="16" s="1"/>
  <c r="L18" i="16"/>
  <c r="K18" i="16"/>
  <c r="G18" i="16"/>
  <c r="M28" i="16"/>
  <c r="O28" i="16" s="1"/>
  <c r="P28" i="16" s="1"/>
  <c r="L28" i="16"/>
  <c r="K28" i="16"/>
  <c r="K27" i="16"/>
  <c r="K26" i="16"/>
  <c r="K25" i="16"/>
  <c r="K23" i="16"/>
  <c r="K22" i="16"/>
  <c r="K21" i="16"/>
  <c r="K19" i="16"/>
  <c r="M25" i="16"/>
  <c r="O25" i="16" s="1"/>
  <c r="P25" i="16" s="1"/>
  <c r="M23" i="16"/>
  <c r="M22" i="16"/>
  <c r="O22" i="16" s="1"/>
  <c r="P22" i="16" s="1"/>
  <c r="M21" i="16"/>
  <c r="O21" i="16" s="1"/>
  <c r="P21" i="16" s="1"/>
  <c r="M19" i="16"/>
  <c r="O19" i="16" s="1"/>
  <c r="P19" i="16" s="1"/>
  <c r="G25" i="16"/>
  <c r="L25" i="16"/>
  <c r="G23" i="16"/>
  <c r="L23" i="16"/>
  <c r="G22" i="16"/>
  <c r="L22" i="16"/>
  <c r="G21" i="16"/>
  <c r="L21" i="16"/>
  <c r="G19" i="16"/>
  <c r="L19" i="16"/>
  <c r="M17" i="16"/>
  <c r="O17" i="16" s="1"/>
  <c r="P17" i="16" s="1"/>
  <c r="L17" i="16"/>
  <c r="K17" i="16"/>
  <c r="M16" i="16"/>
  <c r="O16" i="16" s="1"/>
  <c r="P16" i="16" s="1"/>
  <c r="L16" i="16"/>
  <c r="K16" i="16"/>
  <c r="M15" i="16"/>
  <c r="L15" i="16"/>
  <c r="K15" i="16"/>
  <c r="G17" i="16"/>
  <c r="G16" i="16"/>
  <c r="G15" i="16"/>
  <c r="M14" i="16"/>
  <c r="L14" i="16"/>
  <c r="K14" i="16"/>
  <c r="G14" i="16"/>
  <c r="K13" i="16"/>
  <c r="E13" i="16"/>
  <c r="K12" i="16"/>
  <c r="E12" i="16"/>
  <c r="L12" i="16" s="1"/>
  <c r="E11" i="16"/>
  <c r="F10" i="16"/>
  <c r="E10" i="16"/>
  <c r="O23" i="16" l="1"/>
  <c r="P23" i="16" s="1"/>
  <c r="O15" i="16"/>
  <c r="P15" i="16" s="1"/>
  <c r="G12" i="16"/>
  <c r="O14" i="16"/>
  <c r="P14" i="16" s="1"/>
  <c r="M12" i="16"/>
  <c r="O12" i="16" s="1"/>
  <c r="P12" i="16" s="1"/>
  <c r="J9" i="16"/>
  <c r="I9" i="16"/>
  <c r="F9" i="16" l="1"/>
  <c r="E9" i="16"/>
  <c r="L9" i="16" s="1"/>
  <c r="K9" i="16"/>
  <c r="F27" i="16"/>
  <c r="E27" i="16"/>
  <c r="G28" i="16"/>
  <c r="K10" i="16"/>
  <c r="M27" i="16" l="1"/>
  <c r="O27" i="16" s="1"/>
  <c r="P27" i="16" s="1"/>
  <c r="L27" i="16"/>
  <c r="G9" i="16"/>
  <c r="M9" i="16"/>
  <c r="O9" i="16" l="1"/>
  <c r="P9" i="16" s="1"/>
  <c r="J7" i="16" l="1"/>
  <c r="K11" i="16" l="1"/>
  <c r="G27" i="16"/>
  <c r="F4" i="17" l="1"/>
  <c r="C4" i="16"/>
  <c r="M11" i="16"/>
  <c r="M13" i="16"/>
  <c r="M10" i="16"/>
  <c r="N18" i="16" s="1"/>
  <c r="L11" i="16"/>
  <c r="L13" i="16"/>
  <c r="G13" i="16"/>
  <c r="G11" i="16"/>
  <c r="G10" i="16"/>
  <c r="L10" i="16"/>
  <c r="N14" i="16" l="1"/>
  <c r="N28" i="16"/>
  <c r="N16" i="16"/>
  <c r="N22" i="16"/>
  <c r="N23" i="16"/>
  <c r="N15" i="16"/>
  <c r="N21" i="16"/>
  <c r="N27" i="16"/>
  <c r="N19" i="16"/>
  <c r="N17" i="16"/>
  <c r="N25" i="16"/>
  <c r="N12" i="16"/>
  <c r="N10" i="16"/>
  <c r="M7" i="16"/>
  <c r="N9" i="16"/>
  <c r="N13" i="16"/>
  <c r="N11" i="16"/>
  <c r="O11" i="16"/>
  <c r="P11" i="16" s="1"/>
  <c r="O13" i="16"/>
  <c r="P13" i="16" s="1"/>
  <c r="O10" i="16"/>
  <c r="P10" i="16" l="1"/>
  <c r="O7" i="16"/>
  <c r="P7" i="16" s="1"/>
  <c r="B3" i="16"/>
  <c r="C3" i="16" l="1"/>
  <c r="B5" i="16"/>
  <c r="C5" i="16" l="1"/>
  <c r="C9" i="17"/>
  <c r="C10" i="17" s="1"/>
  <c r="C11" i="17" s="1"/>
  <c r="F5" i="17"/>
  <c r="F6" i="17" s="1"/>
  <c r="F7" i="1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</author>
  </authors>
  <commentList>
    <comment ref="A2" authorId="0" shapeId="0" xr:uid="{2E1066A0-BEBA-4DA0-9278-48310318C72A}">
      <text>
        <r>
          <rPr>
            <b/>
            <sz val="11"/>
            <color indexed="81"/>
            <rFont val="Tahoma"/>
            <family val="2"/>
          </rPr>
          <t>AD:</t>
        </r>
        <r>
          <rPr>
            <sz val="11"/>
            <color indexed="81"/>
            <rFont val="Tahoma"/>
            <family val="2"/>
          </rPr>
          <t xml:space="preserve">
UTC-4 (tính theo giờ sàn)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</author>
  </authors>
  <commentList>
    <comment ref="A9" authorId="0" shapeId="0" xr:uid="{0ED8A817-7B9A-42C9-8B3F-1C071C35EFC4}">
      <text>
        <r>
          <rPr>
            <b/>
            <sz val="11"/>
            <color indexed="81"/>
            <rFont val="Tahoma"/>
            <family val="2"/>
          </rPr>
          <t>AD:</t>
        </r>
        <r>
          <rPr>
            <sz val="11"/>
            <color indexed="81"/>
            <rFont val="Tahoma"/>
            <family val="2"/>
          </rPr>
          <t xml:space="preserve">
UTC-4 (tính theo giờ sàn)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</author>
  </authors>
  <commentList>
    <comment ref="A2" authorId="0" shapeId="0" xr:uid="{03E2A94C-D3CC-4C20-A5A4-334609E064E7}">
      <text>
        <r>
          <rPr>
            <b/>
            <sz val="11"/>
            <color indexed="81"/>
            <rFont val="Tahoma"/>
            <family val="2"/>
          </rPr>
          <t>AD:</t>
        </r>
        <r>
          <rPr>
            <sz val="11"/>
            <color indexed="81"/>
            <rFont val="Tahoma"/>
            <family val="2"/>
          </rPr>
          <t xml:space="preserve">
UTC-4 (tính theo giờ sàn)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</author>
  </authors>
  <commentList>
    <comment ref="E5" authorId="0" shapeId="0" xr:uid="{BD758407-BDEA-4B69-AE55-1685F91639C4}">
      <text>
        <r>
          <rPr>
            <b/>
            <sz val="9"/>
            <color indexed="81"/>
            <rFont val="Tahoma"/>
            <family val="2"/>
          </rPr>
          <t>AD:</t>
        </r>
        <r>
          <rPr>
            <sz val="9"/>
            <color indexed="81"/>
            <rFont val="Tahoma"/>
            <family val="2"/>
          </rPr>
          <t xml:space="preserve">
0xb14f1eCBbCB1ad9DcD6D531c3Da9a80448E8934A</t>
        </r>
      </text>
    </comment>
  </commentList>
</comments>
</file>

<file path=xl/sharedStrings.xml><?xml version="1.0" encoding="utf-8"?>
<sst xmlns="http://schemas.openxmlformats.org/spreadsheetml/2006/main" count="488" uniqueCount="187">
  <si>
    <t>NAV</t>
  </si>
  <si>
    <t>LN</t>
  </si>
  <si>
    <t>ROE</t>
  </si>
  <si>
    <t xml:space="preserve">Vốn chủ </t>
  </si>
  <si>
    <t xml:space="preserve">  NAV đầu kì</t>
  </si>
  <si>
    <t xml:space="preserve">  Nộp thêm</t>
  </si>
  <si>
    <t xml:space="preserve">  Rút ra</t>
  </si>
  <si>
    <t>Tiền mặt cuối kì</t>
  </si>
  <si>
    <t>NAV cuối kì</t>
  </si>
  <si>
    <t>LN lũy kế</t>
  </si>
  <si>
    <t>%LN</t>
  </si>
  <si>
    <t>QUẢN TRỊ VỐN</t>
  </si>
  <si>
    <t>QUẢN TRỊ DEAL</t>
  </si>
  <si>
    <t>Vị thế</t>
  </si>
  <si>
    <t>Ngày mở</t>
  </si>
  <si>
    <t>Ngày đóng</t>
  </si>
  <si>
    <t>KL 
mua</t>
  </si>
  <si>
    <t>Tổng vốn</t>
  </si>
  <si>
    <t>Giá vốn
 TB</t>
  </si>
  <si>
    <t>Giá 
TT</t>
  </si>
  <si>
    <t>KL 
bán</t>
  </si>
  <si>
    <t xml:space="preserve">Tiền bán </t>
  </si>
  <si>
    <t>Giá bán
 TB</t>
  </si>
  <si>
    <t>Giá trị
còn lại</t>
  </si>
  <si>
    <t>LN
tạm tính</t>
  </si>
  <si>
    <t>ROIC
tạm tính</t>
  </si>
  <si>
    <t>Đóng</t>
  </si>
  <si>
    <t>VND</t>
  </si>
  <si>
    <t>&lt;- insert new col</t>
  </si>
  <si>
    <t>KL
còn lại</t>
  </si>
  <si>
    <t>GT coin cuối gì</t>
  </si>
  <si>
    <t>Tổng GT coin</t>
  </si>
  <si>
    <t>Mã coin</t>
  </si>
  <si>
    <t>Mở</t>
  </si>
  <si>
    <t>ETH</t>
  </si>
  <si>
    <t>SOL</t>
  </si>
  <si>
    <t>DOT</t>
  </si>
  <si>
    <t>ADA</t>
  </si>
  <si>
    <t>giảm mạnh chạm sup, mua thử 1 ít (lần đầu mua coin). Bỏ vào 1 ít để tìm hiểu thị trường, mua hold chứ chưa trade</t>
  </si>
  <si>
    <t>USDT</t>
  </si>
  <si>
    <t>USDT/VND</t>
  </si>
  <si>
    <t>ĐÁNH GIÁ ĐẦU TƯ COIN</t>
  </si>
  <si>
    <t>Binace dính FUD, rút bớt ra cho an toàn</t>
  </si>
  <si>
    <t>ARB</t>
  </si>
  <si>
    <t>bão Binance đã qua, nạp vào chơi tiếp</t>
  </si>
  <si>
    <t>nạp vào chơi coin lần đầu</t>
  </si>
  <si>
    <t>FET</t>
  </si>
  <si>
    <t>LTC</t>
  </si>
  <si>
    <t>chạy rút, gần lên đỉnh, chốt 1/2</t>
  </si>
  <si>
    <t>DOGE</t>
  </si>
  <si>
    <t>PORTFOLIO</t>
  </si>
  <si>
    <t>OP</t>
  </si>
  <si>
    <t>nạp 200$ sàn OKX giá 25.7 để vào group bắn signal Arcapital</t>
  </si>
  <si>
    <t>chuyển coin về ví. nạp thêm 75$ vào OKX để bù vào tiền mua coin trước đó (giữ nguyên 200$ trên OKX để trade coin)</t>
  </si>
  <si>
    <t>BTC</t>
  </si>
  <si>
    <t>Sau khi phân tích BTC xong, mua lấy hên</t>
  </si>
  <si>
    <t>TT sập mạnh, nạp 5tr vào Binance múc BTC+ETH (giá USDT: 26.5)</t>
  </si>
  <si>
    <t>múc 1 phần tại vùng giá tròn 60k</t>
  </si>
  <si>
    <t>múc 1 phần tại vùng giá tròn 3k</t>
  </si>
  <si>
    <t>Chỗ cất</t>
  </si>
  <si>
    <t>Tỉ trọng
/Tổng coin</t>
  </si>
  <si>
    <t>Binance</t>
  </si>
  <si>
    <t>Metamask</t>
  </si>
  <si>
    <t>0xb14f1eCBbCB1ad9DcD6D531c3Da9a80448E8934A</t>
  </si>
  <si>
    <t>mua thêm, sóng hồi cây break tin ETF</t>
  </si>
  <si>
    <t>nạp 15tr vào binance</t>
  </si>
  <si>
    <t>binance</t>
  </si>
  <si>
    <t>nạp 10tr vào binance</t>
  </si>
  <si>
    <t>ORDER HISTORY</t>
  </si>
  <si>
    <t>nạp 15tr vào OKX</t>
  </si>
  <si>
    <t>mua thêm</t>
  </si>
  <si>
    <t>mua thêm vùng 60k (lệnh limit)</t>
  </si>
  <si>
    <t>okx</t>
  </si>
  <si>
    <t>3 vùng 55,60,60 về đến là mua thêm (lệnh limit)</t>
  </si>
  <si>
    <t>mua thêm, ăn theo BTC giảm (lệnh limit)</t>
  </si>
  <si>
    <t>mua thêm, sóng hồi (buy limit)</t>
  </si>
  <si>
    <t>rớt xuống vùng mua (đáy cũ), múc thêm</t>
  </si>
  <si>
    <t>sập mạnh -&gt; múc (múc theo BTC)</t>
  </si>
  <si>
    <t>Binance+OKX</t>
  </si>
  <si>
    <t>OKX</t>
  </si>
  <si>
    <t>Metamask 1</t>
  </si>
  <si>
    <t>nạp 20tr vào OKX</t>
  </si>
  <si>
    <t>mua gom thêm vùng đáy</t>
  </si>
  <si>
    <t>lên đỉnh hộp, bán bớt</t>
  </si>
  <si>
    <t>WLD</t>
  </si>
  <si>
    <t>BNB</t>
  </si>
  <si>
    <t>bán tiếp ở giá tròn 100</t>
  </si>
  <si>
    <t>NEAR</t>
  </si>
  <si>
    <t>ALGO</t>
  </si>
  <si>
    <t>Tăng rướn, bán hết</t>
  </si>
  <si>
    <t>VET</t>
  </si>
  <si>
    <t>mua DCA</t>
  </si>
  <si>
    <t>AR</t>
  </si>
  <si>
    <t>UNI</t>
  </si>
  <si>
    <t>INJ</t>
  </si>
  <si>
    <t>LINK</t>
  </si>
  <si>
    <t xml:space="preserve">?? </t>
  </si>
  <si>
    <t>bán trước giá 100</t>
  </si>
  <si>
    <t>Bybit</t>
  </si>
  <si>
    <t>Acc1</t>
  </si>
  <si>
    <t>vtd180/kyc:dinh</t>
  </si>
  <si>
    <t>acc2</t>
  </si>
  <si>
    <t>mp1102/kyc:thach</t>
  </si>
  <si>
    <t>ko lên nổi 100, bán chớ sợ lại rớt</t>
  </si>
  <si>
    <t>bán hết ở okx</t>
  </si>
  <si>
    <t>lúc trước còn 0.002BTC, lấy chuyển qua ví keyless Binance để cày airdrop sàn</t>
  </si>
  <si>
    <t>SUI</t>
  </si>
  <si>
    <t>Tiền</t>
  </si>
  <si>
    <t>nạp 3tr vào sàn bybit để làm nhiệm vụ trade to earn</t>
  </si>
  <si>
    <t xml:space="preserve">nạp 10tr vào binance, mua thêm </t>
  </si>
  <si>
    <t>nạp 30tr vào Binance để cày Alpha, mua P2P bị lỗi chọn nhầm giá (mua giá cao 27.2 thay vì giá bình thường 26.2, do xớn xác)</t>
  </si>
  <si>
    <t>Tổng tiền bỏ vào (USD)</t>
  </si>
  <si>
    <t>Date</t>
  </si>
  <si>
    <t>Total deposit</t>
  </si>
  <si>
    <t>Total withdraw</t>
  </si>
  <si>
    <t>Total profit</t>
  </si>
  <si>
    <t>ONDO</t>
  </si>
  <si>
    <t>Type</t>
  </si>
  <si>
    <t>Coin</t>
  </si>
  <si>
    <t>Price</t>
  </si>
  <si>
    <t>Total</t>
  </si>
  <si>
    <t>Why?</t>
  </si>
  <si>
    <t>Deposit</t>
  </si>
  <si>
    <t>Buy</t>
  </si>
  <si>
    <t>Withdraw</t>
  </si>
  <si>
    <t>Sell</t>
  </si>
  <si>
    <t>Trade H1 (hồi về vùng VCP H1 cũ)</t>
  </si>
  <si>
    <t>Qty</t>
  </si>
  <si>
    <t>Open</t>
  </si>
  <si>
    <t>Position</t>
  </si>
  <si>
    <t>Open date</t>
  </si>
  <si>
    <t>Close date</t>
  </si>
  <si>
    <t>Buy
Qty</t>
  </si>
  <si>
    <t>Cost</t>
  </si>
  <si>
    <t>Avg. cost</t>
  </si>
  <si>
    <t>POSITION</t>
  </si>
  <si>
    <t>Market Price</t>
  </si>
  <si>
    <t>Sell Qty</t>
  </si>
  <si>
    <t>Sell proceeds</t>
  </si>
  <si>
    <t>Avg sell price</t>
  </si>
  <si>
    <t>Exchange</t>
  </si>
  <si>
    <t>Available
Balance</t>
  </si>
  <si>
    <t>Available 
Qty</t>
  </si>
  <si>
    <t>PnL</t>
  </si>
  <si>
    <t>Storage</t>
  </si>
  <si>
    <t>%PnL</t>
  </si>
  <si>
    <t>Closed</t>
  </si>
  <si>
    <t/>
  </si>
  <si>
    <t>Until date</t>
  </si>
  <si>
    <t>(UTC+7)</t>
  </si>
  <si>
    <t>bybit</t>
  </si>
  <si>
    <t>Cash</t>
  </si>
  <si>
    <t>XRP</t>
  </si>
  <si>
    <t>TRUMP</t>
  </si>
  <si>
    <t>Alt.LOW</t>
  </si>
  <si>
    <t>Alt.MID</t>
  </si>
  <si>
    <t>Alt.TOP</t>
  </si>
  <si>
    <t>PEPE</t>
  </si>
  <si>
    <t>XLM</t>
  </si>
  <si>
    <t>Holdings</t>
  </si>
  <si>
    <t>ETH: 1,806</t>
  </si>
  <si>
    <t>ETH: 1,842; BTC: 1,150; SOL: 336</t>
  </si>
  <si>
    <t>ETH: 1,955; BTC: 1,175; SOL: 351</t>
  </si>
  <si>
    <t>ETH: 2,005; BTC: 1,167; SOL: 354</t>
  </si>
  <si>
    <t>ETH: 2,130; BTC: 1,165; SOL: 360</t>
  </si>
  <si>
    <t>BTC: 1,187; SOL: 175</t>
  </si>
  <si>
    <t>BTC: 1,201</t>
  </si>
  <si>
    <t>BTC: 1,233</t>
  </si>
  <si>
    <t>BTC: 1,183</t>
  </si>
  <si>
    <t>BTC: 1,173</t>
  </si>
  <si>
    <t>BTC: 1,174</t>
  </si>
  <si>
    <t>BTC: 1,162</t>
  </si>
  <si>
    <t>BTC: 1,129</t>
  </si>
  <si>
    <t>BTC: 1,143</t>
  </si>
  <si>
    <t>From</t>
  </si>
  <si>
    <t>To</t>
  </si>
  <si>
    <t>BTC: 1,125</t>
  </si>
  <si>
    <t>BTC: 1,169</t>
  </si>
  <si>
    <t>BTC: 1,154</t>
  </si>
  <si>
    <t>BTC: 1,135</t>
  </si>
  <si>
    <t>BTC: 1,101</t>
  </si>
  <si>
    <t>BTC: 1,118</t>
  </si>
  <si>
    <t>BTC: 1,113</t>
  </si>
  <si>
    <t>BTC: 1,126</t>
  </si>
  <si>
    <t>BTC: 1,084</t>
  </si>
  <si>
    <t>BTC: 1,088</t>
  </si>
  <si>
    <t>BTC: 1,193; SOL: 365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</si>
</sst>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mmm\-yyyy"/>
    <numFmt numFmtId="165" formatCode="dd\-mmm\-yyyy"/>
    <numFmt numFmtId="166" formatCode="0.0%"/>
    <numFmt numFmtId="167" formatCode="dd&quot;-&quot;mmm&quot;-&quot;yyyy"/>
    <numFmt numFmtId="168" formatCode="#,##0.0"/>
    <numFmt numFmtId="169" formatCode="0.00000"/>
    <numFmt numFmtId="170" formatCode="yyyy\-mm\-dd"/>
    <numFmt numFmtId="171" formatCode="[$-409]d\-mmm\-yy;@"/>
    <numFmt numFmtId="172" formatCode="0.########"/>
    <numFmt numFmtId="173" formatCode="0.000"/>
  </numFmts>
  <fonts count="22" x14ac:knownFonts="1">
    <font>
      <sz val="10"/>
      <color rgb="FF000000"/>
      <name val="Arial"/>
    </font>
    <font>
      <b/>
      <sz val="14"/>
      <color rgb="FF4285F4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Calibri"/>
      <family val="2"/>
    </font>
    <font>
      <b/>
      <sz val="10"/>
      <color rgb="FF4285F4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sz val="10"/>
      <color rgb="FF000000"/>
      <name val="Arial"/>
      <family val="2"/>
    </font>
    <font>
      <b/>
      <sz val="10"/>
      <color rgb="FF00B050"/>
      <name val="Arial"/>
      <family val="2"/>
    </font>
    <font>
      <sz val="10"/>
      <color rgb="FFFFC000"/>
      <name val="Arial"/>
      <family val="2"/>
    </font>
    <font>
      <b/>
      <sz val="10"/>
      <color rgb="FF000000"/>
      <name val="Arial"/>
      <family val="2"/>
    </font>
    <font>
      <b/>
      <sz val="8"/>
      <color theme="1"/>
      <name val="Arial"/>
      <family val="2"/>
    </font>
    <font>
      <b/>
      <sz val="12"/>
      <color rgb="FFFF0000"/>
      <name val="Arial"/>
      <family val="2"/>
    </font>
    <font>
      <sz val="10"/>
      <color rgb="FFFF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rgb="FF48A428"/>
      <name val="Arial"/>
      <family val="2"/>
    </font>
    <font>
      <sz val="10"/>
      <color rgb="FF339966"/>
      <name val="Arial"/>
      <family val="2"/>
    </font>
    <font>
      <sz val="11"/>
      <color indexed="81"/>
      <name val="Tahoma"/>
      <family val="2"/>
    </font>
    <font>
      <b/>
      <sz val="11"/>
      <color indexed="81"/>
      <name val="Tahoma"/>
      <family val="2"/>
    </font>
    <font>
      <sz val="10"/>
      <color rgb="FFC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C9DAF8"/>
        <bgColor rgb="FFC9DAF8"/>
      </patternFill>
    </fill>
    <fill>
      <patternFill patternType="solid">
        <fgColor rgb="FFDCEF6D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9" fontId="8" fillId="0" borderId="0" applyFont="0" applyFill="0" applyBorder="0" applyAlignment="0" applyProtection="0"/>
    <xf numFmtId="0" fontId="7" fillId="0" borderId="1"/>
  </cellStyleXfs>
  <cellXfs count="127">
    <xf numFmtId="0" fontId="0" fillId="0" borderId="0" xfId="0"/>
    <xf numFmtId="0" fontId="1" fillId="0" borderId="0" xfId="0" applyFont="1"/>
    <xf numFmtId="0" fontId="2" fillId="0" borderId="0" xfId="0" applyFont="1"/>
    <xf numFmtId="3" fontId="2" fillId="0" borderId="0" xfId="0" applyNumberFormat="1" applyFont="1"/>
    <xf numFmtId="10" fontId="2" fillId="0" borderId="0" xfId="0" applyNumberFormat="1" applyFont="1"/>
    <xf numFmtId="3" fontId="3" fillId="0" borderId="0" xfId="0" applyNumberFormat="1" applyFont="1"/>
    <xf numFmtId="3" fontId="3" fillId="2" borderId="1" xfId="0" applyNumberFormat="1" applyFont="1" applyFill="1" applyBorder="1"/>
    <xf numFmtId="164" fontId="3" fillId="0" borderId="0" xfId="0" applyNumberFormat="1" applyFont="1"/>
    <xf numFmtId="3" fontId="4" fillId="0" borderId="0" xfId="0" applyNumberFormat="1" applyFont="1" applyAlignment="1">
      <alignment horizontal="right"/>
    </xf>
    <xf numFmtId="166" fontId="2" fillId="0" borderId="0" xfId="0" applyNumberFormat="1" applyFont="1"/>
    <xf numFmtId="3" fontId="2" fillId="0" borderId="0" xfId="0" applyNumberFormat="1" applyFont="1" applyAlignment="1">
      <alignment horizontal="right"/>
    </xf>
    <xf numFmtId="0" fontId="3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right"/>
    </xf>
    <xf numFmtId="0" fontId="2" fillId="0" borderId="5" xfId="0" applyFont="1" applyBorder="1" applyAlignment="1">
      <alignment horizontal="right"/>
    </xf>
    <xf numFmtId="167" fontId="2" fillId="0" borderId="5" xfId="0" applyNumberFormat="1" applyFont="1" applyBorder="1" applyAlignment="1">
      <alignment horizontal="right"/>
    </xf>
    <xf numFmtId="0" fontId="2" fillId="0" borderId="5" xfId="0" applyFont="1" applyBorder="1"/>
    <xf numFmtId="0" fontId="2" fillId="0" borderId="2" xfId="0" applyFont="1" applyBorder="1" applyAlignment="1">
      <alignment horizontal="right"/>
    </xf>
    <xf numFmtId="9" fontId="2" fillId="0" borderId="5" xfId="0" applyNumberFormat="1" applyFont="1" applyBorder="1" applyAlignment="1">
      <alignment horizontal="right"/>
    </xf>
    <xf numFmtId="3" fontId="2" fillId="0" borderId="5" xfId="0" applyNumberFormat="1" applyFont="1" applyBorder="1" applyAlignment="1">
      <alignment horizontal="right"/>
    </xf>
    <xf numFmtId="0" fontId="5" fillId="0" borderId="0" xfId="0" applyFont="1"/>
    <xf numFmtId="0" fontId="2" fillId="0" borderId="0" xfId="0" applyFont="1" applyAlignment="1">
      <alignment wrapText="1"/>
    </xf>
    <xf numFmtId="0" fontId="3" fillId="0" borderId="3" xfId="0" applyFont="1" applyBorder="1" applyAlignment="1">
      <alignment horizontal="left" vertical="top" wrapText="1"/>
    </xf>
    <xf numFmtId="3" fontId="3" fillId="0" borderId="3" xfId="0" applyNumberFormat="1" applyFont="1" applyBorder="1" applyAlignment="1">
      <alignment horizontal="left" vertical="top" wrapText="1"/>
    </xf>
    <xf numFmtId="3" fontId="0" fillId="0" borderId="0" xfId="0" applyNumberFormat="1"/>
    <xf numFmtId="3" fontId="2" fillId="0" borderId="1" xfId="0" applyNumberFormat="1" applyFont="1" applyBorder="1" applyAlignment="1">
      <alignment horizontal="right"/>
    </xf>
    <xf numFmtId="0" fontId="2" fillId="0" borderId="7" xfId="0" applyFont="1" applyBorder="1" applyAlignment="1">
      <alignment wrapText="1"/>
    </xf>
    <xf numFmtId="3" fontId="2" fillId="0" borderId="6" xfId="0" applyNumberFormat="1" applyFont="1" applyBorder="1" applyAlignment="1">
      <alignment horizontal="right"/>
    </xf>
    <xf numFmtId="49" fontId="2" fillId="0" borderId="0" xfId="0" applyNumberFormat="1" applyFont="1" applyAlignment="1">
      <alignment wrapText="1"/>
    </xf>
    <xf numFmtId="49" fontId="3" fillId="0" borderId="3" xfId="0" applyNumberFormat="1" applyFont="1" applyBorder="1" applyAlignment="1">
      <alignment horizontal="left" vertical="top" wrapText="1"/>
    </xf>
    <xf numFmtId="49" fontId="0" fillId="0" borderId="0" xfId="0" applyNumberFormat="1" applyAlignment="1">
      <alignment wrapText="1"/>
    </xf>
    <xf numFmtId="3" fontId="10" fillId="0" borderId="0" xfId="0" applyNumberFormat="1" applyFont="1"/>
    <xf numFmtId="0" fontId="7" fillId="3" borderId="7" xfId="0" applyFont="1" applyFill="1" applyBorder="1"/>
    <xf numFmtId="3" fontId="7" fillId="3" borderId="7" xfId="0" applyNumberFormat="1" applyFont="1" applyFill="1" applyBorder="1"/>
    <xf numFmtId="49" fontId="0" fillId="0" borderId="0" xfId="0" applyNumberFormat="1"/>
    <xf numFmtId="49" fontId="2" fillId="0" borderId="0" xfId="0" applyNumberFormat="1" applyFont="1"/>
    <xf numFmtId="49" fontId="3" fillId="0" borderId="3" xfId="0" applyNumberFormat="1" applyFont="1" applyBorder="1" applyAlignment="1">
      <alignment horizontal="center" vertical="center" wrapText="1"/>
    </xf>
    <xf numFmtId="0" fontId="0" fillId="0" borderId="1" xfId="0" applyBorder="1"/>
    <xf numFmtId="0" fontId="11" fillId="0" borderId="0" xfId="0" applyFont="1"/>
    <xf numFmtId="0" fontId="9" fillId="0" borderId="0" xfId="0" applyFont="1"/>
    <xf numFmtId="4" fontId="2" fillId="0" borderId="6" xfId="0" applyNumberFormat="1" applyFont="1" applyBorder="1" applyAlignment="1">
      <alignment horizontal="right"/>
    </xf>
    <xf numFmtId="166" fontId="2" fillId="0" borderId="0" xfId="1" applyNumberFormat="1" applyFont="1"/>
    <xf numFmtId="9" fontId="2" fillId="0" borderId="0" xfId="1" applyFont="1"/>
    <xf numFmtId="9" fontId="0" fillId="0" borderId="0" xfId="0" applyNumberFormat="1"/>
    <xf numFmtId="0" fontId="12" fillId="0" borderId="3" xfId="0" applyFont="1" applyBorder="1" applyAlignment="1">
      <alignment horizontal="center" vertical="center" wrapText="1"/>
    </xf>
    <xf numFmtId="3" fontId="13" fillId="0" borderId="0" xfId="0" applyNumberFormat="1" applyFont="1"/>
    <xf numFmtId="4" fontId="2" fillId="0" borderId="5" xfId="0" applyNumberFormat="1" applyFont="1" applyBorder="1" applyAlignment="1">
      <alignment horizontal="right"/>
    </xf>
    <xf numFmtId="4" fontId="3" fillId="0" borderId="2" xfId="0" applyNumberFormat="1" applyFont="1" applyBorder="1" applyAlignment="1">
      <alignment horizontal="right"/>
    </xf>
    <xf numFmtId="3" fontId="3" fillId="2" borderId="1" xfId="0" applyNumberFormat="1" applyFont="1" applyFill="1" applyBorder="1" applyAlignment="1">
      <alignment horizontal="right"/>
    </xf>
    <xf numFmtId="168" fontId="2" fillId="0" borderId="0" xfId="0" applyNumberFormat="1" applyFont="1"/>
    <xf numFmtId="0" fontId="0" fillId="0" borderId="0" xfId="0" applyAlignment="1">
      <alignment horizontal="right"/>
    </xf>
    <xf numFmtId="168" fontId="2" fillId="0" borderId="5" xfId="0" applyNumberFormat="1" applyFont="1" applyBorder="1" applyAlignment="1">
      <alignment horizontal="right"/>
    </xf>
    <xf numFmtId="168" fontId="0" fillId="0" borderId="0" xfId="0" applyNumberFormat="1"/>
    <xf numFmtId="9" fontId="7" fillId="3" borderId="7" xfId="1" applyFont="1" applyFill="1" applyBorder="1" applyAlignment="1"/>
    <xf numFmtId="167" fontId="2" fillId="0" borderId="8" xfId="0" applyNumberFormat="1" applyFont="1" applyBorder="1" applyAlignment="1">
      <alignment horizontal="right"/>
    </xf>
    <xf numFmtId="168" fontId="0" fillId="0" borderId="1" xfId="0" applyNumberFormat="1" applyBorder="1"/>
    <xf numFmtId="9" fontId="6" fillId="0" borderId="6" xfId="0" applyNumberFormat="1" applyFont="1" applyBorder="1" applyAlignment="1">
      <alignment horizontal="right"/>
    </xf>
    <xf numFmtId="9" fontId="2" fillId="0" borderId="6" xfId="0" applyNumberFormat="1" applyFont="1" applyBorder="1" applyAlignment="1">
      <alignment horizontal="right"/>
    </xf>
    <xf numFmtId="0" fontId="7" fillId="0" borderId="0" xfId="0" applyFont="1"/>
    <xf numFmtId="49" fontId="7" fillId="0" borderId="0" xfId="0" applyNumberFormat="1" applyFont="1"/>
    <xf numFmtId="169" fontId="0" fillId="0" borderId="0" xfId="0" applyNumberFormat="1"/>
    <xf numFmtId="0" fontId="2" fillId="0" borderId="1" xfId="0" applyFont="1" applyBorder="1" applyAlignment="1">
      <alignment wrapText="1"/>
    </xf>
    <xf numFmtId="0" fontId="0" fillId="0" borderId="0" xfId="0" quotePrefix="1"/>
    <xf numFmtId="165" fontId="2" fillId="0" borderId="1" xfId="0" applyNumberFormat="1" applyFont="1" applyBorder="1" applyAlignment="1">
      <alignment horizontal="left" vertical="top" wrapText="1"/>
    </xf>
    <xf numFmtId="0" fontId="7" fillId="0" borderId="1" xfId="0" applyFont="1" applyBorder="1"/>
    <xf numFmtId="0" fontId="14" fillId="0" borderId="0" xfId="0" applyFont="1"/>
    <xf numFmtId="0" fontId="14" fillId="0" borderId="1" xfId="0" applyFont="1" applyBorder="1"/>
    <xf numFmtId="9" fontId="6" fillId="0" borderId="0" xfId="1" applyFont="1"/>
    <xf numFmtId="0" fontId="11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167" fontId="3" fillId="0" borderId="5" xfId="0" applyNumberFormat="1" applyFont="1" applyBorder="1" applyAlignment="1">
      <alignment horizontal="right"/>
    </xf>
    <xf numFmtId="170" fontId="0" fillId="0" borderId="0" xfId="0" applyNumberFormat="1"/>
    <xf numFmtId="4" fontId="0" fillId="0" borderId="0" xfId="0" applyNumberFormat="1"/>
    <xf numFmtId="171" fontId="2" fillId="0" borderId="7" xfId="0" applyNumberFormat="1" applyFont="1" applyBorder="1" applyAlignment="1">
      <alignment horizontal="left" vertical="top" wrapText="1"/>
    </xf>
    <xf numFmtId="171" fontId="2" fillId="0" borderId="1" xfId="0" applyNumberFormat="1" applyFont="1" applyBorder="1" applyAlignment="1">
      <alignment horizontal="left" vertical="top" wrapText="1"/>
    </xf>
    <xf numFmtId="0" fontId="2" fillId="0" borderId="9" xfId="0" applyFont="1" applyBorder="1" applyAlignment="1">
      <alignment wrapText="1"/>
    </xf>
    <xf numFmtId="173" fontId="0" fillId="0" borderId="0" xfId="0" applyNumberFormat="1"/>
    <xf numFmtId="3" fontId="3" fillId="0" borderId="1" xfId="0" applyNumberFormat="1" applyFont="1" applyBorder="1"/>
    <xf numFmtId="3" fontId="3" fillId="0" borderId="1" xfId="0" applyNumberFormat="1" applyFont="1" applyBorder="1" applyAlignment="1">
      <alignment horizontal="right"/>
    </xf>
    <xf numFmtId="170" fontId="2" fillId="4" borderId="5" xfId="0" applyNumberFormat="1" applyFont="1" applyFill="1" applyBorder="1" applyAlignment="1">
      <alignment horizontal="right"/>
    </xf>
    <xf numFmtId="172" fontId="2" fillId="0" borderId="5" xfId="0" applyNumberFormat="1" applyFont="1" applyBorder="1" applyAlignment="1">
      <alignment horizontal="right" vertical="center"/>
    </xf>
    <xf numFmtId="170" fontId="2" fillId="0" borderId="5" xfId="0" applyNumberFormat="1" applyFont="1" applyBorder="1" applyAlignment="1">
      <alignment horizontal="right" vertical="center"/>
    </xf>
    <xf numFmtId="170" fontId="2" fillId="0" borderId="1" xfId="0" applyNumberFormat="1" applyFont="1" applyBorder="1" applyAlignment="1">
      <alignment horizontal="right" vertical="center" wrapText="1"/>
    </xf>
    <xf numFmtId="173" fontId="0" fillId="0" borderId="0" xfId="0" applyNumberFormat="1" applyAlignment="1">
      <alignment horizontal="right" vertical="center"/>
    </xf>
    <xf numFmtId="3" fontId="0" fillId="0" borderId="0" xfId="0" applyNumberFormat="1" applyAlignment="1">
      <alignment horizontal="right" vertical="center"/>
    </xf>
    <xf numFmtId="4" fontId="0" fillId="0" borderId="1" xfId="0" applyNumberFormat="1" applyBorder="1" applyAlignment="1">
      <alignment horizontal="right" vertical="center"/>
    </xf>
    <xf numFmtId="4" fontId="0" fillId="0" borderId="0" xfId="0" applyNumberFormat="1" applyAlignment="1">
      <alignment horizontal="right" vertical="center"/>
    </xf>
    <xf numFmtId="173" fontId="0" fillId="0" borderId="1" xfId="0" applyNumberFormat="1" applyBorder="1" applyAlignment="1">
      <alignment horizontal="right" vertical="center"/>
    </xf>
    <xf numFmtId="3" fontId="0" fillId="0" borderId="1" xfId="0" applyNumberFormat="1" applyBorder="1" applyAlignment="1">
      <alignment horizontal="right" vertical="center"/>
    </xf>
    <xf numFmtId="49" fontId="7" fillId="0" borderId="0" xfId="0" applyNumberFormat="1" applyFont="1" applyAlignment="1">
      <alignment horizontal="right" vertical="center"/>
    </xf>
    <xf numFmtId="172" fontId="7" fillId="0" borderId="0" xfId="0" applyNumberFormat="1" applyFont="1" applyAlignment="1">
      <alignment horizontal="right" vertical="center"/>
    </xf>
    <xf numFmtId="4" fontId="2" fillId="0" borderId="6" xfId="0" applyNumberFormat="1" applyFont="1" applyBorder="1" applyAlignment="1">
      <alignment horizontal="right" vertical="center"/>
    </xf>
    <xf numFmtId="3" fontId="2" fillId="0" borderId="5" xfId="0" applyNumberFormat="1" applyFont="1" applyBorder="1" applyAlignment="1">
      <alignment horizontal="right" vertical="center"/>
    </xf>
    <xf numFmtId="0" fontId="0" fillId="0" borderId="0" xfId="0" applyAlignment="1">
      <alignment horizontal="right" vertical="center"/>
    </xf>
    <xf numFmtId="170" fontId="0" fillId="0" borderId="0" xfId="0" applyNumberFormat="1" applyAlignment="1">
      <alignment horizontal="right" vertical="center"/>
    </xf>
    <xf numFmtId="3" fontId="14" fillId="0" borderId="0" xfId="0" applyNumberFormat="1" applyFont="1" applyAlignment="1">
      <alignment horizontal="right" vertical="center"/>
    </xf>
    <xf numFmtId="10" fontId="14" fillId="0" borderId="0" xfId="0" applyNumberFormat="1" applyFont="1" applyAlignment="1">
      <alignment horizontal="right" vertical="center"/>
    </xf>
    <xf numFmtId="49" fontId="0" fillId="0" borderId="0" xfId="0" applyNumberFormat="1" applyAlignment="1">
      <alignment horizontal="right" vertical="center"/>
    </xf>
    <xf numFmtId="167" fontId="2" fillId="0" borderId="5" xfId="0" applyNumberFormat="1" applyFont="1" applyBorder="1" applyAlignment="1">
      <alignment horizontal="right" vertical="center"/>
    </xf>
    <xf numFmtId="4" fontId="7" fillId="0" borderId="0" xfId="0" applyNumberFormat="1" applyFont="1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7" fillId="0" borderId="0" xfId="0" applyFont="1" applyAlignment="1">
      <alignment horizontal="right" vertical="center"/>
    </xf>
    <xf numFmtId="0" fontId="7" fillId="0" borderId="1" xfId="0" applyFont="1" applyBorder="1" applyAlignment="1">
      <alignment horizontal="right" vertical="center"/>
    </xf>
    <xf numFmtId="167" fontId="2" fillId="0" borderId="8" xfId="0" applyNumberFormat="1" applyFont="1" applyBorder="1" applyAlignment="1">
      <alignment horizontal="right" vertical="center"/>
    </xf>
    <xf numFmtId="170" fontId="2" fillId="0" borderId="1" xfId="0" applyNumberFormat="1" applyFont="1" applyBorder="1" applyAlignment="1">
      <alignment horizontal="right"/>
    </xf>
    <xf numFmtId="3" fontId="11" fillId="0" borderId="0" xfId="0" applyNumberFormat="1" applyFont="1"/>
    <xf numFmtId="10" fontId="0" fillId="0" borderId="0" xfId="0" applyNumberFormat="1"/>
    <xf numFmtId="170" fontId="11" fillId="0" borderId="0" xfId="0" applyNumberFormat="1" applyFont="1" applyAlignment="1">
      <alignment wrapText="1"/>
    </xf>
    <xf numFmtId="3" fontId="11" fillId="0" borderId="0" xfId="0" applyNumberFormat="1" applyFont="1" applyAlignment="1">
      <alignment wrapText="1"/>
    </xf>
    <xf numFmtId="173" fontId="11" fillId="0" borderId="0" xfId="0" applyNumberFormat="1" applyFont="1" applyAlignment="1">
      <alignment wrapText="1"/>
    </xf>
    <xf numFmtId="4" fontId="11" fillId="0" borderId="0" xfId="0" applyNumberFormat="1" applyFont="1" applyAlignment="1">
      <alignment wrapText="1"/>
    </xf>
    <xf numFmtId="10" fontId="11" fillId="0" borderId="0" xfId="0" applyNumberFormat="1" applyFont="1" applyAlignment="1">
      <alignment wrapText="1"/>
    </xf>
    <xf numFmtId="0" fontId="11" fillId="0" borderId="0" xfId="0" applyFont="1" applyAlignment="1">
      <alignment wrapText="1"/>
    </xf>
    <xf numFmtId="0" fontId="0" fillId="0" borderId="0" xfId="0" applyAlignment="1">
      <alignment wrapText="1"/>
    </xf>
    <xf numFmtId="3" fontId="3" fillId="0" borderId="0" xfId="0" applyNumberFormat="1" applyFont="1" applyAlignment="1">
      <alignment horizontal="right"/>
    </xf>
    <xf numFmtId="3" fontId="3" fillId="0" borderId="0" xfId="0" applyNumberFormat="1" applyFont="1" applyAlignment="1">
      <alignment horizontal="right" vertical="center" indent="1"/>
    </xf>
    <xf numFmtId="10" fontId="21" fillId="0" borderId="1" xfId="0" applyNumberFormat="1" applyFont="1" applyBorder="1" applyAlignment="1">
      <alignment horizontal="right" vertical="center"/>
    </xf>
    <xf numFmtId="3" fontId="21" fillId="0" borderId="5" xfId="0" applyNumberFormat="1" applyFont="1" applyBorder="1" applyAlignment="1">
      <alignment horizontal="right" vertical="center"/>
    </xf>
    <xf numFmtId="0" fontId="7" fillId="0" borderId="1" xfId="2"/>
    <xf numFmtId="0" fontId="11" fillId="0" borderId="1" xfId="2" applyFont="1"/>
    <xf numFmtId="49" fontId="11" fillId="0" borderId="0" xfId="0" applyNumberFormat="1" applyFont="1" applyAlignment="1">
      <alignment wrapText="1"/>
    </xf>
    <xf numFmtId="170" fontId="2" fillId="4" borderId="5" xfId="2" applyNumberFormat="1" applyFont="1" applyFill="1" applyBorder="1" applyAlignment="1">
      <alignment horizontal="right"/>
    </xf>
    <xf numFmtId="0" fontId="14" fillId="0" borderId="1" xfId="2" applyFont="1"/>
    <xf numFmtId="9" fontId="7" fillId="0" borderId="1" xfId="2" applyNumberFormat="1"/>
    <xf numFmtId="3" fontId="21" fillId="0" borderId="0" xfId="0" applyNumberFormat="1" applyFont="1" applyAlignment="1">
      <alignment horizontal="right" vertical="center"/>
    </xf>
    <xf numFmtId="10" fontId="21" fillId="0" borderId="0" xfId="0" applyNumberFormat="1" applyFont="1" applyAlignment="1">
      <alignment horizontal="right" vertical="center"/>
    </xf>
    <xf numFmtId="3" fontId="17" fillId="0" borderId="6" xfId="0" applyNumberFormat="1" applyFont="1" applyBorder="1" applyAlignment="1">
      <alignment horizontal="right" vertical="center"/>
    </xf>
    <xf numFmtId="10" fontId="17" fillId="0" borderId="1" xfId="0" applyNumberFormat="1" applyFont="1" applyBorder="1" applyAlignment="1">
      <alignment horizontal="right" vertical="center"/>
    </xf>
  </cellXfs>
  <cellStyles count="3">
    <cellStyle name="Normal" xfId="0" builtinId="0"/>
    <cellStyle name="Normal 2" xfId="2" xr:uid="{658D3405-6236-4782-B77B-CE98E3D78B88}"/>
    <cellStyle name="Percent" xfId="1" builtinId="5"/>
  </cellStyles>
  <dxfs count="3">
    <dxf>
      <font>
        <color rgb="FFFF0000"/>
      </font>
      <fill>
        <patternFill patternType="none"/>
      </fill>
    </dxf>
    <dxf>
      <font>
        <color theme="7"/>
      </font>
      <fill>
        <patternFill patternType="none"/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DCEF6D"/>
      <color rgb="FFDEE97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Port1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NAV</c:v>
          </c:tx>
          <c:marker>
            <c:symbol val="none"/>
          </c:marker>
          <c:cat>
            <c:numLit>
              <c:formatCode>General</c:formatCode>
              <c:ptCount val="9"/>
              <c:pt idx="0">
                <c:v>45870</c:v>
              </c:pt>
              <c:pt idx="1">
                <c:v>45871</c:v>
              </c:pt>
              <c:pt idx="2">
                <c:v>45872</c:v>
              </c:pt>
              <c:pt idx="3">
                <c:v>45873</c:v>
              </c:pt>
              <c:pt idx="4">
                <c:v>45874</c:v>
              </c:pt>
              <c:pt idx="5">
                <c:v>45875</c:v>
              </c:pt>
              <c:pt idx="6">
                <c:v>45876</c:v>
              </c:pt>
              <c:pt idx="7">
                <c:v>45877</c:v>
              </c:pt>
              <c:pt idx="8">
                <c:v>45879</c:v>
              </c:pt>
            </c:numLit>
          </c:cat>
          <c:val>
            <c:numLit>
              <c:formatCode>General</c:formatCode>
              <c:ptCount val="9"/>
              <c:pt idx="0">
                <c:v>5000</c:v>
              </c:pt>
              <c:pt idx="1">
                <c:v>4000</c:v>
              </c:pt>
              <c:pt idx="2">
                <c:v>4500</c:v>
              </c:pt>
              <c:pt idx="3">
                <c:v>4500</c:v>
              </c:pt>
              <c:pt idx="4">
                <c:v>4112</c:v>
              </c:pt>
              <c:pt idx="5">
                <c:v>4119</c:v>
              </c:pt>
              <c:pt idx="6">
                <c:v>4361</c:v>
              </c:pt>
              <c:pt idx="7">
                <c:v>4463</c:v>
              </c:pt>
              <c:pt idx="8">
                <c:v>4591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CFE6-441D-B602-6193671639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23902608"/>
        <c:axId val="923906448"/>
      </c:lineChart>
      <c:dateAx>
        <c:axId val="923902608"/>
        <c:scaling>
          <c:orientation val="minMax"/>
        </c:scaling>
        <c:delete val="0"/>
        <c:axPos val="b"/>
        <c:numFmt formatCode="yyyy\-mm\-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906448"/>
        <c:crosses val="autoZero"/>
        <c:auto val="0"/>
        <c:lblOffset val="100"/>
        <c:baseTimeUnit val="days"/>
      </c:dateAx>
      <c:valAx>
        <c:axId val="923906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902608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PnL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-194</c:v>
              </c:pt>
              <c:pt idx="5">
                <c:v>-172</c:v>
              </c:pt>
              <c:pt idx="6">
                <c:v>-19</c:v>
              </c:pt>
              <c:pt idx="7">
                <c:v>25</c:v>
              </c:pt>
              <c:pt idx="8">
                <c:v>155</c:v>
              </c:pt>
              <c:pt idx="9">
                <c:v>1058</c:v>
              </c:pt>
              <c:pt idx="10">
                <c:v>1032</c:v>
              </c:pt>
              <c:pt idx="11">
                <c:v>1041</c:v>
              </c:pt>
              <c:pt idx="12">
                <c:v>1073</c:v>
              </c:pt>
              <c:pt idx="13">
                <c:v>1023</c:v>
              </c:pt>
              <c:pt idx="14">
                <c:v>1013</c:v>
              </c:pt>
              <c:pt idx="15">
                <c:v>1014</c:v>
              </c:pt>
              <c:pt idx="16">
                <c:v>1014</c:v>
              </c:pt>
              <c:pt idx="17">
                <c:v>1002</c:v>
              </c:pt>
              <c:pt idx="18">
                <c:v>969</c:v>
              </c:pt>
              <c:pt idx="19">
                <c:v>983</c:v>
              </c:pt>
              <c:pt idx="20">
                <c:v>965</c:v>
              </c:pt>
              <c:pt idx="21">
                <c:v>1009</c:v>
              </c:pt>
              <c:pt idx="22">
                <c:v>994</c:v>
              </c:pt>
              <c:pt idx="23">
                <c:v>975</c:v>
              </c:pt>
              <c:pt idx="24">
                <c:v>941</c:v>
              </c:pt>
              <c:pt idx="25">
                <c:v>958</c:v>
              </c:pt>
              <c:pt idx="26">
                <c:v>953</c:v>
              </c:pt>
              <c:pt idx="27">
                <c:v>966</c:v>
              </c:pt>
              <c:pt idx="28">
                <c:v>924</c:v>
              </c:pt>
              <c:pt idx="29">
                <c:v>928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8AD3-4FF3-81E0-530B0A7A9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4102896"/>
        <c:axId val="734103856"/>
      </c:lineChart>
      <c:dateAx>
        <c:axId val="734102896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734103856"/>
        <c:crosses val="min"/>
        <c:auto val="0"/>
        <c:lblOffset val="100"/>
        <c:baseTimeUnit val="days"/>
      </c:dateAx>
      <c:valAx>
        <c:axId val="734103856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734102896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NAV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5000</c:v>
              </c:pt>
              <c:pt idx="1">
                <c:v>4000</c:v>
              </c:pt>
              <c:pt idx="2">
                <c:v>4500</c:v>
              </c:pt>
              <c:pt idx="3">
                <c:v>4500</c:v>
              </c:pt>
              <c:pt idx="4">
                <c:v>4306</c:v>
              </c:pt>
              <c:pt idx="5">
                <c:v>4328</c:v>
              </c:pt>
              <c:pt idx="6">
                <c:v>4481</c:v>
              </c:pt>
              <c:pt idx="7">
                <c:v>4525</c:v>
              </c:pt>
              <c:pt idx="8">
                <c:v>4655</c:v>
              </c:pt>
              <c:pt idx="9">
                <c:v>5558</c:v>
              </c:pt>
              <c:pt idx="10">
                <c:v>5532</c:v>
              </c:pt>
              <c:pt idx="11">
                <c:v>5541</c:v>
              </c:pt>
              <c:pt idx="12">
                <c:v>5573</c:v>
              </c:pt>
              <c:pt idx="13">
                <c:v>5523</c:v>
              </c:pt>
              <c:pt idx="14">
                <c:v>5513</c:v>
              </c:pt>
              <c:pt idx="15">
                <c:v>5514</c:v>
              </c:pt>
              <c:pt idx="16">
                <c:v>5514</c:v>
              </c:pt>
              <c:pt idx="17">
                <c:v>5502</c:v>
              </c:pt>
              <c:pt idx="18">
                <c:v>5469</c:v>
              </c:pt>
              <c:pt idx="19">
                <c:v>4483</c:v>
              </c:pt>
              <c:pt idx="20">
                <c:v>4465</c:v>
              </c:pt>
              <c:pt idx="21">
                <c:v>4509</c:v>
              </c:pt>
              <c:pt idx="22">
                <c:v>4494</c:v>
              </c:pt>
              <c:pt idx="23">
                <c:v>4475</c:v>
              </c:pt>
              <c:pt idx="24">
                <c:v>4441</c:v>
              </c:pt>
              <c:pt idx="25">
                <c:v>4458</c:v>
              </c:pt>
              <c:pt idx="26">
                <c:v>4453</c:v>
              </c:pt>
              <c:pt idx="27">
                <c:v>4466</c:v>
              </c:pt>
              <c:pt idx="28">
                <c:v>4424</c:v>
              </c:pt>
              <c:pt idx="29">
                <c:v>4428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A239-474D-A12E-71AF4DACD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2971952"/>
        <c:axId val="2092972432"/>
      </c:lineChart>
      <c:dateAx>
        <c:axId val="2092971952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2092972432"/>
        <c:crosses val="autoZero"/>
        <c:auto val="0"/>
        <c:lblOffset val="100"/>
        <c:baseTimeUnit val="days"/>
      </c:dateAx>
      <c:valAx>
        <c:axId val="209297243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2092971952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Deposit &amp; Withdraw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Deposit</c:v>
          </c:tx>
          <c:marker>
            <c:symbol val="none"/>
          </c:marker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5000</c:v>
              </c:pt>
              <c:pt idx="1">
                <c:v>5000</c:v>
              </c:pt>
              <c:pt idx="2">
                <c:v>5500</c:v>
              </c:pt>
              <c:pt idx="3">
                <c:v>5500</c:v>
              </c:pt>
              <c:pt idx="4">
                <c:v>5500</c:v>
              </c:pt>
              <c:pt idx="5">
                <c:v>5500</c:v>
              </c:pt>
              <c:pt idx="6">
                <c:v>5500</c:v>
              </c:pt>
              <c:pt idx="7">
                <c:v>5500</c:v>
              </c:pt>
              <c:pt idx="8">
                <c:v>5500</c:v>
              </c:pt>
              <c:pt idx="9">
                <c:v>5500</c:v>
              </c:pt>
              <c:pt idx="10">
                <c:v>5500</c:v>
              </c:pt>
              <c:pt idx="11">
                <c:v>5500</c:v>
              </c:pt>
              <c:pt idx="12">
                <c:v>5500</c:v>
              </c:pt>
              <c:pt idx="13">
                <c:v>5500</c:v>
              </c:pt>
              <c:pt idx="14">
                <c:v>5500</c:v>
              </c:pt>
              <c:pt idx="15">
                <c:v>5500</c:v>
              </c:pt>
              <c:pt idx="16">
                <c:v>5500</c:v>
              </c:pt>
              <c:pt idx="17">
                <c:v>5500</c:v>
              </c:pt>
              <c:pt idx="18">
                <c:v>5500</c:v>
              </c:pt>
              <c:pt idx="19">
                <c:v>5500</c:v>
              </c:pt>
              <c:pt idx="20">
                <c:v>5500</c:v>
              </c:pt>
              <c:pt idx="21">
                <c:v>5500</c:v>
              </c:pt>
              <c:pt idx="22">
                <c:v>5500</c:v>
              </c:pt>
              <c:pt idx="23">
                <c:v>5500</c:v>
              </c:pt>
              <c:pt idx="24">
                <c:v>5500</c:v>
              </c:pt>
              <c:pt idx="25">
                <c:v>5500</c:v>
              </c:pt>
              <c:pt idx="26">
                <c:v>5500</c:v>
              </c:pt>
              <c:pt idx="27">
                <c:v>5500</c:v>
              </c:pt>
              <c:pt idx="28">
                <c:v>5500</c:v>
              </c:pt>
              <c:pt idx="29">
                <c:v>5500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3C67-4809-AA56-CFCE3BF04B80}"/>
            </c:ext>
          </c:extLst>
        </c:ser>
        <c:ser>
          <c:idx val="1"/>
          <c:order val="1"/>
          <c:tx>
            <c:v>Withdraw</c:v>
          </c:tx>
          <c:marker>
            <c:symbol val="none"/>
          </c:marker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1000</c:v>
              </c:pt>
              <c:pt idx="2">
                <c:v>1000</c:v>
              </c:pt>
              <c:pt idx="3">
                <c:v>1000</c:v>
              </c:pt>
              <c:pt idx="4">
                <c:v>1000</c:v>
              </c:pt>
              <c:pt idx="5">
                <c:v>1000</c:v>
              </c:pt>
              <c:pt idx="6">
                <c:v>1000</c:v>
              </c:pt>
              <c:pt idx="7">
                <c:v>1000</c:v>
              </c:pt>
              <c:pt idx="8">
                <c:v>1000</c:v>
              </c:pt>
              <c:pt idx="9">
                <c:v>1000</c:v>
              </c:pt>
              <c:pt idx="10">
                <c:v>1000</c:v>
              </c:pt>
              <c:pt idx="11">
                <c:v>1000</c:v>
              </c:pt>
              <c:pt idx="12">
                <c:v>1000</c:v>
              </c:pt>
              <c:pt idx="13">
                <c:v>1000</c:v>
              </c:pt>
              <c:pt idx="14">
                <c:v>1000</c:v>
              </c:pt>
              <c:pt idx="15">
                <c:v>1000</c:v>
              </c:pt>
              <c:pt idx="16">
                <c:v>1000</c:v>
              </c:pt>
              <c:pt idx="17">
                <c:v>1000</c:v>
              </c:pt>
              <c:pt idx="18">
                <c:v>1000</c:v>
              </c:pt>
              <c:pt idx="19">
                <c:v>2000</c:v>
              </c:pt>
              <c:pt idx="20">
                <c:v>2000</c:v>
              </c:pt>
              <c:pt idx="21">
                <c:v>2000</c:v>
              </c:pt>
              <c:pt idx="22">
                <c:v>2000</c:v>
              </c:pt>
              <c:pt idx="23">
                <c:v>2000</c:v>
              </c:pt>
              <c:pt idx="24">
                <c:v>2000</c:v>
              </c:pt>
              <c:pt idx="25">
                <c:v>2000</c:v>
              </c:pt>
              <c:pt idx="26">
                <c:v>2000</c:v>
              </c:pt>
              <c:pt idx="27">
                <c:v>2000</c:v>
              </c:pt>
              <c:pt idx="28">
                <c:v>2000</c:v>
              </c:pt>
              <c:pt idx="29">
                <c:v>2000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3C67-4809-AA56-CFCE3BF04B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9081696"/>
        <c:axId val="1949084576"/>
      </c:lineChart>
      <c:dateAx>
        <c:axId val="1949081696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1949084576"/>
        <c:crosses val="min"/>
        <c:auto val="0"/>
        <c:lblOffset val="100"/>
        <c:baseTimeUnit val="days"/>
      </c:dateAx>
      <c:valAx>
        <c:axId val="1949084576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1949081696"/>
        <c:crosses val="autoZero"/>
        <c:crossBetween val="between"/>
      </c:valAx>
    </c:plotArea>
    <c:legend>
      <c:legendPos val="t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Cash vs NAV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Cash/NAV</c:v>
          </c:tx>
          <c:marker>
            <c:symbol val="none"/>
          </c:marker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0.5805852299117511</c:v>
              </c:pt>
              <c:pt idx="5">
                <c:v>0.23105360443622922</c:v>
              </c:pt>
              <c:pt idx="6">
                <c:v>0.2231644722160232</c:v>
              </c:pt>
              <c:pt idx="7">
                <c:v>0.22099447513812154</c:v>
              </c:pt>
              <c:pt idx="8">
                <c:v>0.21482277121374865</c:v>
              </c:pt>
              <c:pt idx="9">
                <c:v>0.7196833393306945</c:v>
              </c:pt>
              <c:pt idx="10">
                <c:v>0.75379609544468551</c:v>
              </c:pt>
              <c:pt idx="11">
                <c:v>0.78325212055585636</c:v>
              </c:pt>
              <c:pt idx="12">
                <c:v>0.7787547102099408</c:v>
              </c:pt>
              <c:pt idx="13">
                <c:v>0.78580481622306719</c:v>
              </c:pt>
              <c:pt idx="14">
                <c:v>0.7872301832033376</c:v>
              </c:pt>
              <c:pt idx="15">
                <c:v>0.78708741385564018</c:v>
              </c:pt>
              <c:pt idx="16">
                <c:v>0.78708741385564018</c:v>
              </c:pt>
              <c:pt idx="17">
                <c:v>0.78880407124681939</c:v>
              </c:pt>
              <c:pt idx="18">
                <c:v>0.79356372280124332</c:v>
              </c:pt>
              <c:pt idx="19">
                <c:v>0.74503680571046171</c:v>
              </c:pt>
              <c:pt idx="20">
                <c:v>0.74804031354983203</c:v>
              </c:pt>
              <c:pt idx="21">
                <c:v>0.7407407407407407</c:v>
              </c:pt>
              <c:pt idx="22">
                <c:v>0.74321317311971513</c:v>
              </c:pt>
              <c:pt idx="23">
                <c:v>0.74636871508379887</c:v>
              </c:pt>
              <c:pt idx="24">
                <c:v>0.75208286421977033</c:v>
              </c:pt>
              <c:pt idx="25">
                <c:v>0.74921489457155677</c:v>
              </c:pt>
              <c:pt idx="26">
                <c:v>0.75005614192679093</c:v>
              </c:pt>
              <c:pt idx="27">
                <c:v>0.74787281683833406</c:v>
              </c:pt>
              <c:pt idx="28">
                <c:v>0.75497287522603973</c:v>
              </c:pt>
              <c:pt idx="29">
                <c:v>0.75429087624209579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CA98-484D-B03C-F05BFA4882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67913984"/>
        <c:axId val="1067914944"/>
      </c:lineChart>
      <c:dateAx>
        <c:axId val="1067913984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1067914944"/>
        <c:crosses val="min"/>
        <c:auto val="0"/>
        <c:lblOffset val="100"/>
        <c:baseTimeUnit val="days"/>
      </c:dateAx>
      <c:valAx>
        <c:axId val="1067914944"/>
        <c:scaling>
          <c:orientation val="minMax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1067913984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Portfolio_Group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BTC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1150</c:v>
              </c:pt>
              <c:pt idx="6">
                <c:v>1175</c:v>
              </c:pt>
              <c:pt idx="7">
                <c:v>1167</c:v>
              </c:pt>
              <c:pt idx="8">
                <c:v>1165</c:v>
              </c:pt>
              <c:pt idx="9">
                <c:v>1193</c:v>
              </c:pt>
              <c:pt idx="10">
                <c:v>1187</c:v>
              </c:pt>
              <c:pt idx="11">
                <c:v>1201</c:v>
              </c:pt>
              <c:pt idx="12">
                <c:v>1233</c:v>
              </c:pt>
              <c:pt idx="13">
                <c:v>1183</c:v>
              </c:pt>
              <c:pt idx="14">
                <c:v>1173</c:v>
              </c:pt>
              <c:pt idx="15">
                <c:v>1174</c:v>
              </c:pt>
              <c:pt idx="16">
                <c:v>1174</c:v>
              </c:pt>
              <c:pt idx="17">
                <c:v>1162</c:v>
              </c:pt>
              <c:pt idx="18">
                <c:v>1129</c:v>
              </c:pt>
              <c:pt idx="19">
                <c:v>1143</c:v>
              </c:pt>
              <c:pt idx="20">
                <c:v>1125</c:v>
              </c:pt>
              <c:pt idx="21">
                <c:v>1169</c:v>
              </c:pt>
              <c:pt idx="22">
                <c:v>1154</c:v>
              </c:pt>
              <c:pt idx="23">
                <c:v>1135</c:v>
              </c:pt>
              <c:pt idx="24">
                <c:v>1101</c:v>
              </c:pt>
              <c:pt idx="25">
                <c:v>1118</c:v>
              </c:pt>
              <c:pt idx="26">
                <c:v>1113</c:v>
              </c:pt>
              <c:pt idx="27">
                <c:v>1126</c:v>
              </c:pt>
              <c:pt idx="28">
                <c:v>1084</c:v>
              </c:pt>
              <c:pt idx="29">
                <c:v>1088</c:v>
              </c:pt>
            </c:numLit>
          </c:val>
          <c:extLst>
            <c:ext xmlns:c16="http://schemas.microsoft.com/office/drawing/2014/chart" uri="{C3380CC4-5D6E-409C-BE32-E72D297353CC}">
              <c16:uniqueId val="{00000000-3F2D-45FA-9112-F473D2751402}"/>
            </c:ext>
          </c:extLst>
        </c:ser>
        <c:ser>
          <c:idx val="1"/>
          <c:order val="1"/>
          <c:tx>
            <c:v>Alt.TOP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1806</c:v>
              </c:pt>
              <c:pt idx="5">
                <c:v>1842</c:v>
              </c:pt>
              <c:pt idx="6">
                <c:v>1955</c:v>
              </c:pt>
              <c:pt idx="7">
                <c:v>2005</c:v>
              </c:pt>
              <c:pt idx="8">
                <c:v>2130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F2D-45FA-9112-F473D2751402}"/>
            </c:ext>
          </c:extLst>
        </c:ser>
        <c:ser>
          <c:idx val="2"/>
          <c:order val="2"/>
          <c:tx>
            <c:v>Alt.MID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336</c:v>
              </c:pt>
              <c:pt idx="6">
                <c:v>351</c:v>
              </c:pt>
              <c:pt idx="7">
                <c:v>354</c:v>
              </c:pt>
              <c:pt idx="8">
                <c:v>360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2-3F2D-45FA-9112-F473D2751402}"/>
            </c:ext>
          </c:extLst>
        </c:ser>
        <c:ser>
          <c:idx val="3"/>
          <c:order val="3"/>
          <c:tx>
            <c:v>Alt.LOW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365</c:v>
              </c:pt>
              <c:pt idx="10">
                <c:v>175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3F2D-45FA-9112-F473D2751402}"/>
            </c:ext>
          </c:extLst>
        </c:ser>
        <c:ser>
          <c:idx val="4"/>
          <c:order val="4"/>
          <c:tx>
            <c:v>Holdings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4-3F2D-45FA-9112-F473D27514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67906784"/>
        <c:axId val="1067908224"/>
      </c:barChart>
      <c:catAx>
        <c:axId val="1067906784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1067908224"/>
        <c:crosses val="autoZero"/>
        <c:auto val="1"/>
        <c:lblAlgn val="ctr"/>
        <c:lblOffset val="100"/>
        <c:noMultiLvlLbl val="0"/>
      </c:catAx>
      <c:valAx>
        <c:axId val="1067908224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106790678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Cash</a:t>
            </a:r>
            <a:r>
              <a:rPr lang="en-US" sz="1000" baseline="0"/>
              <a:t> vs Coin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1"/>
          <c:order val="1"/>
          <c:dLbls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Cash</c:v>
              </c:pt>
              <c:pt idx="1">
                <c:v>Coin</c:v>
              </c:pt>
            </c:strLit>
          </c:cat>
          <c:val>
            <c:numLit>
              <c:formatCode>General</c:formatCode>
              <c:ptCount val="2"/>
              <c:pt idx="0">
                <c:v>3340</c:v>
              </c:pt>
              <c:pt idx="1">
                <c:v>1088</c:v>
              </c:pt>
            </c:numLit>
          </c:val>
          <c:extLst>
            <c:ext xmlns:c16="http://schemas.microsoft.com/office/drawing/2014/chart" uri="{C3380CC4-5D6E-409C-BE32-E72D297353CC}">
              <c16:uniqueId val="{00000001-C2D1-43BE-AB3A-ED83E554B0A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extLst>
          <c:ext xmlns:c15="http://schemas.microsoft.com/office/drawing/2012/chart" uri="{02D57815-91ED-43cb-92C2-25804820EDAC}">
            <c15:filteredPieSeries>
              <c15:ser>
                <c:idx val="0"/>
                <c:order val="0"/>
                <c:tx>
                  <c:v>Cash vs Coin</c:v>
                </c:tx>
                <c:dLbls>
                  <c:numFmt formatCode="0%" sourceLinked="0"/>
                  <c:spPr>
                    <a:noFill/>
                    <a:ln>
                      <a:noFill/>
                    </a:ln>
                    <a:effectLst/>
                  </c:spPr>
                  <c:showLegendKey val="0"/>
                  <c:showVal val="0"/>
                  <c:showCatName val="1"/>
                  <c:showSerName val="0"/>
                  <c:showPercent val="1"/>
                  <c:showBubbleSize val="0"/>
                  <c:showLeaderLines val="0"/>
                  <c:extLst>
                    <c:ext uri="{CE6537A1-D6FC-4f65-9D91-7224C49458BB}"/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[1]Position!$Z$1:$Z$2</c15:sqref>
                        </c15:formulaRef>
                      </c:ext>
                    </c:extLst>
                    <c:strCache>
                      <c:ptCount val="2"/>
                      <c:pt idx="0">
                        <c:v>Cash</c:v>
                      </c:pt>
                      <c:pt idx="1">
                        <c:v>Coin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[1]Position!$AA$1:$AA$2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7340</c:v>
                      </c:pt>
                      <c:pt idx="1">
                        <c:v>2195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C2D1-43BE-AB3A-ED83E554B0AE}"/>
                  </c:ext>
                </c:extLst>
              </c15:ser>
            </c15:filteredPieSeries>
          </c:ext>
        </c:extLst>
      </c:pieChart>
    </c:plotArea>
    <c:legend>
      <c:legendPos val="r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/>
  </c:chart>
  <c:spPr>
    <a:ln>
      <a:solidFill>
        <a:schemeClr val="accent1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Portfolio1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dLbls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4"/>
              <c:pt idx="0">
                <c:v>BTC</c:v>
              </c:pt>
              <c:pt idx="1">
                <c:v>Alt.TOP</c:v>
              </c:pt>
              <c:pt idx="2">
                <c:v>Alt.MID</c:v>
              </c:pt>
              <c:pt idx="3">
                <c:v>Alt.LOW</c:v>
              </c:pt>
            </c:strLit>
          </c:cat>
          <c:val>
            <c:numLit>
              <c:formatCode>General</c:formatCode>
              <c:ptCount val="4"/>
              <c:pt idx="0">
                <c:v>1143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577-4A65-861D-5801919C6F1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/>
  </c:chart>
  <c:spPr>
    <a:ln>
      <a:solidFill>
        <a:schemeClr val="accent1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/>
            </a:pPr>
            <a:r>
              <a:rPr lang="en-US" sz="1400" b="0"/>
              <a:t>Portfolio2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Lbls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1"/>
              <c:pt idx="0">
                <c:v>BTC</c:v>
              </c:pt>
            </c:strLit>
          </c:cat>
          <c:val>
            <c:numLit>
              <c:formatCode>General</c:formatCode>
              <c:ptCount val="1"/>
              <c:pt idx="0">
                <c:v>1088</c:v>
              </c:pt>
            </c:numLit>
          </c:val>
          <c:extLst>
            <c:ext xmlns:c16="http://schemas.microsoft.com/office/drawing/2014/chart" uri="{C3380CC4-5D6E-409C-BE32-E72D297353CC}">
              <c16:uniqueId val="{00000008-CAC6-415C-9225-6B39032225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38100</xdr:rowOff>
        </xdr:from>
        <xdr:to>
          <xdr:col>4</xdr:col>
          <xdr:colOff>438150</xdr:colOff>
          <xdr:row>3</xdr:row>
          <xdr:rowOff>9525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1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Update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21980</xdr:colOff>
      <xdr:row>29</xdr:row>
      <xdr:rowOff>7326</xdr:rowOff>
    </xdr:from>
    <xdr:to>
      <xdr:col>15</xdr:col>
      <xdr:colOff>328700</xdr:colOff>
      <xdr:row>51</xdr:row>
      <xdr:rowOff>51994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D8035B1-D1BA-48F6-9CCB-63B11243EB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407866</xdr:colOff>
      <xdr:row>5</xdr:row>
      <xdr:rowOff>29307</xdr:rowOff>
    </xdr:from>
    <xdr:to>
      <xdr:col>23</xdr:col>
      <xdr:colOff>315057</xdr:colOff>
      <xdr:row>27</xdr:row>
      <xdr:rowOff>16364</xdr:rowOff>
    </xdr:to>
    <xdr:graphicFrame macro="">
      <xdr:nvGraphicFramePr>
        <xdr:cNvPr id="13" name="PnL">
          <a:extLst>
            <a:ext uri="{FF2B5EF4-FFF2-40B4-BE49-F238E27FC236}">
              <a16:creationId xmlns:a16="http://schemas.microsoft.com/office/drawing/2014/main" id="{6E08B949-FB08-19A3-C259-71B5C112A8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21980</xdr:colOff>
      <xdr:row>5</xdr:row>
      <xdr:rowOff>114054</xdr:rowOff>
    </xdr:from>
    <xdr:to>
      <xdr:col>7</xdr:col>
      <xdr:colOff>307731</xdr:colOff>
      <xdr:row>26</xdr:row>
      <xdr:rowOff>16362</xdr:rowOff>
    </xdr:to>
    <xdr:graphicFrame macro="">
      <xdr:nvGraphicFramePr>
        <xdr:cNvPr id="10" name="NAV">
          <a:extLst>
            <a:ext uri="{FF2B5EF4-FFF2-40B4-BE49-F238E27FC236}">
              <a16:creationId xmlns:a16="http://schemas.microsoft.com/office/drawing/2014/main" id="{17837996-45A0-6C14-3BBE-2FC65BF3E0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29308</xdr:colOff>
      <xdr:row>6</xdr:row>
      <xdr:rowOff>4151</xdr:rowOff>
    </xdr:from>
    <xdr:to>
      <xdr:col>15</xdr:col>
      <xdr:colOff>337038</xdr:colOff>
      <xdr:row>26</xdr:row>
      <xdr:rowOff>67651</xdr:rowOff>
    </xdr:to>
    <xdr:graphicFrame macro="">
      <xdr:nvGraphicFramePr>
        <xdr:cNvPr id="11" name="Deposit">
          <a:extLst>
            <a:ext uri="{FF2B5EF4-FFF2-40B4-BE49-F238E27FC236}">
              <a16:creationId xmlns:a16="http://schemas.microsoft.com/office/drawing/2014/main" id="{01743988-4740-5164-675C-B2C008A357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29</xdr:row>
      <xdr:rowOff>48112</xdr:rowOff>
    </xdr:from>
    <xdr:to>
      <xdr:col>7</xdr:col>
      <xdr:colOff>388327</xdr:colOff>
      <xdr:row>51</xdr:row>
      <xdr:rowOff>43960</xdr:rowOff>
    </xdr:to>
    <xdr:graphicFrame macro="">
      <xdr:nvGraphicFramePr>
        <xdr:cNvPr id="8" name="Cash vs NAV">
          <a:extLst>
            <a:ext uri="{FF2B5EF4-FFF2-40B4-BE49-F238E27FC236}">
              <a16:creationId xmlns:a16="http://schemas.microsoft.com/office/drawing/2014/main" id="{87B17737-2668-B278-BD30-695AB23230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451827</xdr:colOff>
      <xdr:row>29</xdr:row>
      <xdr:rowOff>4152</xdr:rowOff>
    </xdr:from>
    <xdr:to>
      <xdr:col>27</xdr:col>
      <xdr:colOff>356088</xdr:colOff>
      <xdr:row>49</xdr:row>
      <xdr:rowOff>67652</xdr:rowOff>
    </xdr:to>
    <xdr:graphicFrame macro="">
      <xdr:nvGraphicFramePr>
        <xdr:cNvPr id="16" name="Portfolio_Group">
          <a:extLst>
            <a:ext uri="{FF2B5EF4-FFF2-40B4-BE49-F238E27FC236}">
              <a16:creationId xmlns:a16="http://schemas.microsoft.com/office/drawing/2014/main" id="{B5107044-FEE9-354D-A12A-A626BB1BB1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0.27822</cdr:x>
      <cdr:y>0.11421</cdr:y>
    </cdr:from>
    <cdr:to>
      <cdr:x>0.72082</cdr:x>
      <cdr:y>0.18342</cdr:y>
    </cdr:to>
    <cdr:sp macro="" textlink="">
      <cdr:nvSpPr>
        <cdr:cNvPr id="13" name="MDD_NAV">
          <a:extLst xmlns:a="http://schemas.openxmlformats.org/drawingml/2006/main">
            <a:ext uri="{FF2B5EF4-FFF2-40B4-BE49-F238E27FC236}">
              <a16:creationId xmlns:a16="http://schemas.microsoft.com/office/drawing/2014/main" id="{F859787C-6CD1-0289-8B3F-A898F0721A90}"/>
            </a:ext>
          </a:extLst>
        </cdr:cNvPr>
        <cdr:cNvSpPr txBox="1"/>
      </cdr:nvSpPr>
      <cdr:spPr>
        <a:xfrm xmlns:a="http://schemas.openxmlformats.org/drawingml/2006/main">
          <a:off x="1277327" y="377190"/>
          <a:ext cx="20320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5400" tIns="12700" rIns="25400" bIns="12700" rtlCol="0"/>
        <a:lstStyle xmlns:a="http://schemas.openxmlformats.org/drawingml/2006/main"/>
        <a:p xmlns:a="http://schemas.openxmlformats.org/drawingml/2006/main">
          <a:pPr algn="ctr"/>
          <a:r>
            <a:rPr lang="en-US" sz="900" kern="1200">
              <a:solidFill>
                <a:srgbClr val="505050"/>
              </a:solidFill>
            </a:rPr>
            <a:t>Drawdown: Max. 21%, Current: 21%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409575</xdr:colOff>
          <xdr:row>0</xdr:row>
          <xdr:rowOff>142875</xdr:rowOff>
        </xdr:from>
        <xdr:to>
          <xdr:col>5</xdr:col>
          <xdr:colOff>66675</xdr:colOff>
          <xdr:row>3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2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Update Position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0</xdr:row>
          <xdr:rowOff>161925</xdr:rowOff>
        </xdr:from>
        <xdr:to>
          <xdr:col>8</xdr:col>
          <xdr:colOff>200025</xdr:colOff>
          <xdr:row>3</xdr:row>
          <xdr:rowOff>19050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2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Take snapshoot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372717</xdr:colOff>
      <xdr:row>3</xdr:row>
      <xdr:rowOff>52614</xdr:rowOff>
    </xdr:from>
    <xdr:to>
      <xdr:col>6</xdr:col>
      <xdr:colOff>69590</xdr:colOff>
      <xdr:row>10</xdr:row>
      <xdr:rowOff>946718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9B52C179-E93D-494C-AC67-6CADC82E9D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205745</xdr:colOff>
      <xdr:row>3</xdr:row>
      <xdr:rowOff>66261</xdr:rowOff>
    </xdr:from>
    <xdr:to>
      <xdr:col>10</xdr:col>
      <xdr:colOff>412539</xdr:colOff>
      <xdr:row>10</xdr:row>
      <xdr:rowOff>960365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ED275E3A-486D-45FD-BBC8-035DF788B6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180602</xdr:colOff>
      <xdr:row>3</xdr:row>
      <xdr:rowOff>53974</xdr:rowOff>
    </xdr:from>
    <xdr:to>
      <xdr:col>16</xdr:col>
      <xdr:colOff>1075765</xdr:colOff>
      <xdr:row>10</xdr:row>
      <xdr:rowOff>974912</xdr:rowOff>
    </xdr:to>
    <xdr:graphicFrame macro="">
      <xdr:nvGraphicFramePr>
        <xdr:cNvPr id="21" name="Portfolio2">
          <a:extLst>
            <a:ext uri="{FF2B5EF4-FFF2-40B4-BE49-F238E27FC236}">
              <a16:creationId xmlns:a16="http://schemas.microsoft.com/office/drawing/2014/main" id="{9B695D8C-3E7C-4BD4-E2D9-8241A0887C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371475</xdr:colOff>
          <xdr:row>0</xdr:row>
          <xdr:rowOff>133350</xdr:rowOff>
        </xdr:from>
        <xdr:to>
          <xdr:col>10</xdr:col>
          <xdr:colOff>180975</xdr:colOff>
          <xdr:row>2</xdr:row>
          <xdr:rowOff>190500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2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Update all snapshoot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3</xdr:row>
          <xdr:rowOff>47625</xdr:rowOff>
        </xdr:from>
        <xdr:to>
          <xdr:col>7</xdr:col>
          <xdr:colOff>333375</xdr:colOff>
          <xdr:row>4</xdr:row>
          <xdr:rowOff>104775</xdr:rowOff>
        </xdr:to>
        <xdr:sp macro="" textlink="">
          <xdr:nvSpPr>
            <xdr:cNvPr id="21510" name="Button 6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3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portfoilo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209550</xdr:colOff>
          <xdr:row>2</xdr:row>
          <xdr:rowOff>161925</xdr:rowOff>
        </xdr:from>
        <xdr:to>
          <xdr:col>9</xdr:col>
          <xdr:colOff>619125</xdr:colOff>
          <xdr:row>4</xdr:row>
          <xdr:rowOff>142875</xdr:rowOff>
        </xdr:to>
        <xdr:sp macro="" textlink="">
          <xdr:nvSpPr>
            <xdr:cNvPr id="21511" name="Button 7" hidden="1">
              <a:extLst>
                <a:ext uri="{63B3BB69-23CF-44E3-9099-C40C66FF867C}">
                  <a14:compatExt spid="_x0000_s21511"/>
                </a:ext>
                <a:ext uri="{FF2B5EF4-FFF2-40B4-BE49-F238E27FC236}">
                  <a16:creationId xmlns:a16="http://schemas.microsoft.com/office/drawing/2014/main" id="{00000000-0008-0000-0300-00000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Daily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247650</xdr:colOff>
          <xdr:row>3</xdr:row>
          <xdr:rowOff>85725</xdr:rowOff>
        </xdr:from>
        <xdr:to>
          <xdr:col>11</xdr:col>
          <xdr:colOff>409575</xdr:colOff>
          <xdr:row>4</xdr:row>
          <xdr:rowOff>171450</xdr:rowOff>
        </xdr:to>
        <xdr:sp macro="" textlink="">
          <xdr:nvSpPr>
            <xdr:cNvPr id="21512" name="Button 8" hidden="1">
              <a:extLst>
                <a:ext uri="{63B3BB69-23CF-44E3-9099-C40C66FF867C}">
                  <a14:compatExt spid="_x0000_s21512"/>
                </a:ext>
                <a:ext uri="{FF2B5EF4-FFF2-40B4-BE49-F238E27FC236}">
                  <a16:creationId xmlns:a16="http://schemas.microsoft.com/office/drawing/2014/main" id="{00000000-0008-0000-0300-00000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dashboard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D\Downloads\koi_code_bk.xlsm" TargetMode="External"/><Relationship Id="rId1" Type="http://schemas.openxmlformats.org/officeDocument/2006/relationships/externalLinkPath" Target="/Users/AD/Downloads/koi_code_bk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shboard"/>
      <sheetName val="Monthly_Review"/>
      <sheetName val="Position"/>
      <sheetName val="Catagory"/>
      <sheetName val="Portfolio_bk"/>
      <sheetName val="Order_History"/>
      <sheetName val="Sheet1"/>
      <sheetName val="Daily_Snapshot"/>
      <sheetName val="Order_History (2)"/>
      <sheetName val="storage"/>
    </sheetNames>
    <sheetDataSet>
      <sheetData sheetId="0"/>
      <sheetData sheetId="1"/>
      <sheetData sheetId="2">
        <row r="1">
          <cell r="Z1" t="str">
            <v>Cash</v>
          </cell>
          <cell r="AA1">
            <v>7340</v>
          </cell>
        </row>
        <row r="2">
          <cell r="Z2" t="str">
            <v>Coin</v>
          </cell>
          <cell r="AA2">
            <v>2195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7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F83CE-6F9E-4E89-B1EB-3A05F312659A}">
  <sheetPr codeName="Sheet1">
    <outlinePr summaryBelow="0" summaryRight="0"/>
  </sheetPr>
  <dimension ref="A1:J1025"/>
  <sheetViews>
    <sheetView zoomScale="160" zoomScaleNormal="160" workbookViewId="0">
      <pane xSplit="1" topLeftCell="B1" activePane="topRight" state="frozen"/>
      <selection pane="topRight" activeCell="F9" sqref="F9"/>
    </sheetView>
  </sheetViews>
  <sheetFormatPr defaultColWidth="14.42578125" defaultRowHeight="15" customHeight="1" x14ac:dyDescent="0.2"/>
  <cols>
    <col min="1" max="1" width="15.140625" customWidth="1"/>
    <col min="2" max="3" width="11.7109375" customWidth="1"/>
    <col min="4" max="4" width="12.7109375" customWidth="1"/>
    <col min="5" max="5" width="18.85546875" customWidth="1"/>
  </cols>
  <sheetData>
    <row r="1" spans="1:10" ht="15.75" customHeight="1" x14ac:dyDescent="0.25">
      <c r="A1" s="1" t="s">
        <v>41</v>
      </c>
    </row>
    <row r="2" spans="1:10" ht="15.75" customHeight="1" x14ac:dyDescent="0.2">
      <c r="B2" s="7">
        <v>45869</v>
      </c>
      <c r="C2" s="7">
        <v>45565</v>
      </c>
      <c r="D2" s="7"/>
      <c r="E2" s="30" t="s">
        <v>28</v>
      </c>
    </row>
    <row r="3" spans="1:10" ht="15.75" customHeight="1" x14ac:dyDescent="0.2">
      <c r="A3" s="2" t="s">
        <v>3</v>
      </c>
      <c r="B3" s="3"/>
      <c r="C3" s="3"/>
      <c r="D3" s="3"/>
      <c r="E3" s="38"/>
      <c r="F3" s="37"/>
    </row>
    <row r="4" spans="1:10" ht="15.75" customHeight="1" x14ac:dyDescent="0.2">
      <c r="A4" s="2" t="s">
        <v>4</v>
      </c>
      <c r="B4" s="3"/>
      <c r="C4" s="3">
        <v>4663.4799999999996</v>
      </c>
      <c r="D4" s="3"/>
      <c r="E4" s="31" t="s">
        <v>111</v>
      </c>
      <c r="F4" s="32">
        <f>SUM(B5:D5)-SUM(B6:D6)</f>
        <v>4663.4799999999996</v>
      </c>
      <c r="G4" s="61"/>
    </row>
    <row r="5" spans="1:10" ht="15.75" customHeight="1" x14ac:dyDescent="0.2">
      <c r="A5" s="2" t="s">
        <v>5</v>
      </c>
      <c r="B5" s="3">
        <v>4663.4799999999996</v>
      </c>
      <c r="C5" s="3"/>
      <c r="D5" s="3"/>
      <c r="E5" s="31" t="s">
        <v>0</v>
      </c>
      <c r="F5" s="32">
        <f>Portfolio_bk!B5</f>
        <v>5585.4556819999989</v>
      </c>
    </row>
    <row r="6" spans="1:10" ht="15.75" customHeight="1" x14ac:dyDescent="0.2">
      <c r="A6" s="2" t="s">
        <v>6</v>
      </c>
      <c r="B6" s="3"/>
      <c r="C6" s="3"/>
      <c r="D6" s="3"/>
      <c r="E6" s="31" t="s">
        <v>1</v>
      </c>
      <c r="F6" s="32">
        <f>F5-F4</f>
        <v>921.97568199999932</v>
      </c>
    </row>
    <row r="7" spans="1:10" ht="15.75" customHeight="1" x14ac:dyDescent="0.2">
      <c r="A7" s="2" t="s">
        <v>30</v>
      </c>
      <c r="B7" s="3"/>
      <c r="C7" s="3"/>
      <c r="D7" s="3"/>
      <c r="E7" s="31" t="s">
        <v>10</v>
      </c>
      <c r="F7" s="52">
        <f>F6/F4</f>
        <v>0.1977012192611525</v>
      </c>
    </row>
    <row r="8" spans="1:10" ht="15.75" customHeight="1" x14ac:dyDescent="0.2">
      <c r="A8" s="2" t="s">
        <v>7</v>
      </c>
      <c r="B8" s="3"/>
      <c r="C8" s="3"/>
      <c r="D8" s="2"/>
      <c r="E8" s="3"/>
      <c r="G8" s="3"/>
    </row>
    <row r="9" spans="1:10" ht="15.75" customHeight="1" x14ac:dyDescent="0.2">
      <c r="A9" s="2" t="s">
        <v>8</v>
      </c>
      <c r="B9" s="3">
        <v>4663.4799999999996</v>
      </c>
      <c r="C9" s="3">
        <f>Portfolio_bk!B5</f>
        <v>5585.4556819999989</v>
      </c>
      <c r="D9" s="5"/>
      <c r="E9" s="8"/>
      <c r="G9" s="3"/>
    </row>
    <row r="10" spans="1:10" ht="15.75" customHeight="1" x14ac:dyDescent="0.2">
      <c r="A10" s="2" t="s">
        <v>1</v>
      </c>
      <c r="B10" s="3"/>
      <c r="C10" s="3">
        <f>C9-B9</f>
        <v>921.97568199999932</v>
      </c>
      <c r="E10" s="23"/>
    </row>
    <row r="11" spans="1:10" ht="15.75" customHeight="1" x14ac:dyDescent="0.2">
      <c r="A11" s="2" t="s">
        <v>9</v>
      </c>
      <c r="B11" s="3"/>
      <c r="C11" s="3">
        <f>B10+C10</f>
        <v>921.97568199999932</v>
      </c>
      <c r="D11" s="5"/>
      <c r="E11" s="8"/>
    </row>
    <row r="12" spans="1:10" ht="15.75" customHeight="1" x14ac:dyDescent="0.2">
      <c r="A12" s="2" t="s">
        <v>2</v>
      </c>
      <c r="B12" s="9"/>
      <c r="C12" s="9"/>
      <c r="D12" s="3"/>
      <c r="E12" s="4"/>
    </row>
    <row r="13" spans="1:10" ht="15.75" customHeight="1" x14ac:dyDescent="0.2">
      <c r="B13" s="3"/>
      <c r="C13" s="3"/>
      <c r="D13" s="3"/>
      <c r="E13" s="3"/>
    </row>
    <row r="14" spans="1:10" ht="15.75" customHeight="1" x14ac:dyDescent="0.2">
      <c r="B14" s="3"/>
      <c r="C14" s="3"/>
      <c r="D14" s="3"/>
      <c r="E14" s="3"/>
    </row>
    <row r="15" spans="1:10" ht="15.75" customHeight="1" x14ac:dyDescent="0.2">
      <c r="B15" s="3"/>
      <c r="C15" s="3"/>
      <c r="D15" s="3"/>
      <c r="E15" s="3"/>
    </row>
    <row r="16" spans="1:10" ht="15.75" customHeight="1" x14ac:dyDescent="0.25">
      <c r="B16" s="3"/>
      <c r="C16" s="3"/>
      <c r="D16" s="3"/>
      <c r="E16" s="44"/>
      <c r="G16" s="23"/>
      <c r="I16" s="23"/>
      <c r="J16" s="23"/>
    </row>
    <row r="17" spans="2:9" ht="15.75" customHeight="1" x14ac:dyDescent="0.25">
      <c r="B17" s="3"/>
      <c r="C17" s="3"/>
      <c r="D17" s="3"/>
      <c r="E17" s="44"/>
      <c r="G17" s="23"/>
      <c r="I17" s="23"/>
    </row>
    <row r="18" spans="2:9" ht="15.75" customHeight="1" x14ac:dyDescent="0.2">
      <c r="B18" s="3"/>
      <c r="C18" s="3"/>
      <c r="D18" s="3"/>
      <c r="E18" s="3"/>
      <c r="G18" s="23"/>
      <c r="I18" s="23"/>
    </row>
    <row r="19" spans="2:9" ht="15.75" customHeight="1" x14ac:dyDescent="0.2">
      <c r="B19" s="40"/>
      <c r="C19" s="40"/>
      <c r="D19" s="3"/>
      <c r="E19" s="3"/>
      <c r="G19" s="23"/>
      <c r="I19" s="23"/>
    </row>
    <row r="20" spans="2:9" ht="15.75" customHeight="1" x14ac:dyDescent="0.2">
      <c r="B20" s="41"/>
      <c r="C20" s="41"/>
      <c r="E20" s="3"/>
      <c r="G20" s="23"/>
      <c r="I20" s="23"/>
    </row>
    <row r="21" spans="2:9" ht="15.75" customHeight="1" x14ac:dyDescent="0.2">
      <c r="B21" s="41"/>
      <c r="C21" s="41"/>
      <c r="E21" s="3"/>
      <c r="G21" s="23"/>
      <c r="I21" s="23"/>
    </row>
    <row r="22" spans="2:9" ht="15.75" customHeight="1" x14ac:dyDescent="0.2">
      <c r="B22" s="41"/>
      <c r="C22" s="41"/>
      <c r="E22" s="3"/>
      <c r="G22" s="23"/>
      <c r="I22" s="23"/>
    </row>
    <row r="23" spans="2:9" ht="15.75" customHeight="1" x14ac:dyDescent="0.2">
      <c r="E23" s="3"/>
      <c r="G23" s="23"/>
      <c r="I23" s="23"/>
    </row>
    <row r="24" spans="2:9" ht="15.75" customHeight="1" x14ac:dyDescent="0.2">
      <c r="E24" s="3"/>
      <c r="G24" s="23"/>
      <c r="I24" s="23"/>
    </row>
    <row r="25" spans="2:9" ht="15.75" customHeight="1" x14ac:dyDescent="0.2">
      <c r="B25" s="3"/>
      <c r="C25" s="3"/>
      <c r="D25" s="3"/>
      <c r="E25" s="3"/>
      <c r="G25" s="3"/>
      <c r="I25" s="23"/>
    </row>
    <row r="26" spans="2:9" ht="15.75" customHeight="1" x14ac:dyDescent="0.2">
      <c r="B26" s="40"/>
      <c r="C26" s="40"/>
      <c r="D26" s="3"/>
      <c r="E26" s="3"/>
      <c r="I26" s="23"/>
    </row>
    <row r="27" spans="2:9" ht="15.75" customHeight="1" x14ac:dyDescent="0.2">
      <c r="B27" s="3"/>
      <c r="C27" s="3"/>
      <c r="D27" s="3"/>
      <c r="E27" s="3"/>
      <c r="G27" s="23"/>
    </row>
    <row r="28" spans="2:9" ht="15.75" customHeight="1" x14ac:dyDescent="0.2">
      <c r="B28" s="3"/>
      <c r="C28" s="3"/>
      <c r="D28" s="3"/>
      <c r="E28" s="3"/>
      <c r="G28" s="23"/>
    </row>
    <row r="29" spans="2:9" ht="15.75" customHeight="1" x14ac:dyDescent="0.2">
      <c r="B29" s="3"/>
      <c r="C29" s="3"/>
      <c r="D29" s="3"/>
      <c r="E29" s="3"/>
      <c r="G29" s="23"/>
    </row>
    <row r="30" spans="2:9" ht="15.75" customHeight="1" x14ac:dyDescent="0.2">
      <c r="B30" s="3"/>
      <c r="C30" s="3"/>
      <c r="D30" s="3"/>
      <c r="E30" s="3"/>
    </row>
    <row r="31" spans="2:9" ht="15.75" customHeight="1" x14ac:dyDescent="0.2">
      <c r="B31" s="3"/>
      <c r="C31" s="3"/>
      <c r="D31" s="3"/>
      <c r="E31" s="3"/>
    </row>
    <row r="32" spans="2:9" ht="15.75" customHeight="1" x14ac:dyDescent="0.2">
      <c r="B32" s="3"/>
      <c r="C32" s="3"/>
      <c r="D32" s="3"/>
      <c r="E32" s="3"/>
    </row>
    <row r="33" spans="2:5" ht="15.75" customHeight="1" x14ac:dyDescent="0.2">
      <c r="B33" s="3"/>
      <c r="C33" s="3"/>
      <c r="D33" s="3"/>
      <c r="E33" s="3"/>
    </row>
    <row r="34" spans="2:5" ht="15.75" customHeight="1" x14ac:dyDescent="0.2">
      <c r="B34" s="3"/>
      <c r="C34" s="3"/>
      <c r="D34" s="3"/>
      <c r="E34" s="3"/>
    </row>
    <row r="35" spans="2:5" ht="15.75" customHeight="1" x14ac:dyDescent="0.2">
      <c r="B35" s="3"/>
      <c r="C35" s="3"/>
      <c r="D35" s="3"/>
      <c r="E35" s="3"/>
    </row>
    <row r="36" spans="2:5" ht="15.75" customHeight="1" x14ac:dyDescent="0.2">
      <c r="B36" s="3"/>
      <c r="C36" s="3"/>
      <c r="D36" s="3"/>
      <c r="E36" s="3"/>
    </row>
    <row r="37" spans="2:5" ht="15.75" customHeight="1" x14ac:dyDescent="0.2">
      <c r="B37" s="3"/>
      <c r="C37" s="3"/>
      <c r="D37" s="3"/>
      <c r="E37" s="3"/>
    </row>
    <row r="38" spans="2:5" ht="15.75" customHeight="1" x14ac:dyDescent="0.2">
      <c r="B38" s="3"/>
      <c r="C38" s="3"/>
      <c r="D38" s="3"/>
      <c r="E38" s="3"/>
    </row>
    <row r="39" spans="2:5" ht="15.75" customHeight="1" x14ac:dyDescent="0.2">
      <c r="B39" s="3"/>
      <c r="C39" s="3"/>
      <c r="D39" s="3"/>
      <c r="E39" s="3"/>
    </row>
    <row r="40" spans="2:5" ht="15.75" customHeight="1" x14ac:dyDescent="0.2">
      <c r="B40" s="3"/>
      <c r="C40" s="3"/>
      <c r="D40" s="3"/>
      <c r="E40" s="3"/>
    </row>
    <row r="41" spans="2:5" ht="15.75" customHeight="1" x14ac:dyDescent="0.2">
      <c r="B41" s="3"/>
      <c r="C41" s="3"/>
      <c r="D41" s="3"/>
      <c r="E41" s="3"/>
    </row>
    <row r="42" spans="2:5" ht="15.75" customHeight="1" x14ac:dyDescent="0.2">
      <c r="B42" s="3"/>
      <c r="C42" s="3"/>
      <c r="D42" s="3"/>
      <c r="E42" s="3"/>
    </row>
    <row r="43" spans="2:5" ht="15.75" customHeight="1" x14ac:dyDescent="0.2">
      <c r="B43" s="3"/>
      <c r="C43" s="3"/>
      <c r="D43" s="3"/>
      <c r="E43" s="3"/>
    </row>
    <row r="44" spans="2:5" ht="15.75" customHeight="1" x14ac:dyDescent="0.2">
      <c r="B44" s="3"/>
      <c r="C44" s="3"/>
      <c r="D44" s="3"/>
      <c r="E44" s="3"/>
    </row>
    <row r="45" spans="2:5" ht="15.75" customHeight="1" x14ac:dyDescent="0.2">
      <c r="B45" s="3"/>
      <c r="C45" s="3"/>
      <c r="D45" s="3"/>
      <c r="E45" s="3"/>
    </row>
    <row r="46" spans="2:5" ht="15.75" customHeight="1" x14ac:dyDescent="0.2">
      <c r="B46" s="3"/>
      <c r="C46" s="3"/>
      <c r="D46" s="3"/>
      <c r="E46" s="3"/>
    </row>
    <row r="47" spans="2:5" ht="15.75" customHeight="1" x14ac:dyDescent="0.2">
      <c r="B47" s="3"/>
      <c r="C47" s="3"/>
      <c r="D47" s="3"/>
      <c r="E47" s="3"/>
    </row>
    <row r="48" spans="2:5" ht="15.75" customHeight="1" x14ac:dyDescent="0.2">
      <c r="B48" s="3"/>
      <c r="C48" s="3"/>
      <c r="D48" s="3"/>
      <c r="E48" s="3"/>
    </row>
    <row r="49" spans="2:5" ht="15.75" customHeight="1" x14ac:dyDescent="0.2">
      <c r="B49" s="3"/>
      <c r="C49" s="3"/>
      <c r="D49" s="3"/>
      <c r="E49" s="3"/>
    </row>
    <row r="50" spans="2:5" ht="15.75" customHeight="1" x14ac:dyDescent="0.2">
      <c r="B50" s="3"/>
      <c r="C50" s="3"/>
      <c r="D50" s="3"/>
      <c r="E50" s="3"/>
    </row>
    <row r="51" spans="2:5" ht="15.75" customHeight="1" x14ac:dyDescent="0.2">
      <c r="B51" s="3"/>
      <c r="C51" s="3"/>
      <c r="D51" s="3"/>
      <c r="E51" s="3"/>
    </row>
    <row r="52" spans="2:5" ht="15.75" customHeight="1" x14ac:dyDescent="0.2">
      <c r="B52" s="3"/>
      <c r="C52" s="3"/>
      <c r="D52" s="3"/>
      <c r="E52" s="3"/>
    </row>
    <row r="53" spans="2:5" ht="15.75" customHeight="1" x14ac:dyDescent="0.2">
      <c r="B53" s="3"/>
      <c r="C53" s="3"/>
      <c r="D53" s="3"/>
      <c r="E53" s="3"/>
    </row>
    <row r="54" spans="2:5" ht="15.75" customHeight="1" x14ac:dyDescent="0.2">
      <c r="B54" s="3"/>
      <c r="C54" s="3"/>
      <c r="D54" s="3"/>
      <c r="E54" s="3"/>
    </row>
    <row r="55" spans="2:5" ht="15.75" customHeight="1" x14ac:dyDescent="0.2">
      <c r="B55" s="3"/>
      <c r="C55" s="3"/>
      <c r="D55" s="3"/>
      <c r="E55" s="3"/>
    </row>
    <row r="56" spans="2:5" ht="15.75" customHeight="1" x14ac:dyDescent="0.2">
      <c r="B56" s="3"/>
      <c r="C56" s="3"/>
      <c r="D56" s="3"/>
      <c r="E56" s="3"/>
    </row>
    <row r="57" spans="2:5" ht="15.75" customHeight="1" x14ac:dyDescent="0.2">
      <c r="B57" s="3"/>
      <c r="C57" s="3"/>
      <c r="D57" s="3"/>
      <c r="E57" s="3"/>
    </row>
    <row r="58" spans="2:5" ht="15.75" customHeight="1" x14ac:dyDescent="0.2">
      <c r="B58" s="3"/>
      <c r="C58" s="3"/>
      <c r="D58" s="3"/>
      <c r="E58" s="3"/>
    </row>
    <row r="59" spans="2:5" ht="15.75" customHeight="1" x14ac:dyDescent="0.2">
      <c r="B59" s="3"/>
      <c r="C59" s="3"/>
      <c r="D59" s="3"/>
      <c r="E59" s="3"/>
    </row>
    <row r="60" spans="2:5" ht="15.75" customHeight="1" x14ac:dyDescent="0.2">
      <c r="B60" s="3"/>
      <c r="C60" s="3"/>
      <c r="D60" s="3"/>
      <c r="E60" s="3"/>
    </row>
    <row r="61" spans="2:5" ht="15.75" customHeight="1" x14ac:dyDescent="0.2">
      <c r="B61" s="3"/>
      <c r="C61" s="3"/>
      <c r="D61" s="3"/>
      <c r="E61" s="3"/>
    </row>
    <row r="62" spans="2:5" ht="15.75" customHeight="1" x14ac:dyDescent="0.2">
      <c r="B62" s="3"/>
      <c r="C62" s="3"/>
      <c r="D62" s="3"/>
      <c r="E62" s="3"/>
    </row>
    <row r="63" spans="2:5" ht="15.75" customHeight="1" x14ac:dyDescent="0.2">
      <c r="B63" s="3"/>
      <c r="C63" s="3"/>
      <c r="D63" s="3"/>
      <c r="E63" s="3"/>
    </row>
    <row r="64" spans="2:5" ht="15.75" customHeight="1" x14ac:dyDescent="0.2">
      <c r="B64" s="3"/>
      <c r="C64" s="3"/>
      <c r="D64" s="3"/>
      <c r="E64" s="3"/>
    </row>
    <row r="65" spans="1:5" ht="15.75" customHeight="1" x14ac:dyDescent="0.2">
      <c r="B65" s="3"/>
      <c r="C65" s="3"/>
      <c r="D65" s="3"/>
      <c r="E65" s="3"/>
    </row>
    <row r="66" spans="1:5" ht="15.75" customHeight="1" x14ac:dyDescent="0.2">
      <c r="B66" s="3"/>
      <c r="C66" s="3"/>
      <c r="D66" s="3"/>
      <c r="E66" s="3"/>
    </row>
    <row r="67" spans="1:5" ht="15.75" customHeight="1" x14ac:dyDescent="0.2">
      <c r="B67" s="3"/>
      <c r="C67" s="3"/>
      <c r="D67" s="3"/>
      <c r="E67" s="3"/>
    </row>
    <row r="68" spans="1:5" ht="15.75" customHeight="1" x14ac:dyDescent="0.2">
      <c r="B68" s="3"/>
      <c r="C68" s="3"/>
      <c r="D68" s="3"/>
      <c r="E68" s="3"/>
    </row>
    <row r="69" spans="1:5" ht="15.75" customHeight="1" x14ac:dyDescent="0.2">
      <c r="B69" s="3"/>
      <c r="C69" s="3"/>
      <c r="D69" s="3"/>
      <c r="E69" s="3"/>
    </row>
    <row r="70" spans="1:5" ht="15.75" customHeight="1" x14ac:dyDescent="0.2">
      <c r="B70" s="3"/>
      <c r="C70" s="3"/>
      <c r="D70" s="3"/>
      <c r="E70" s="3"/>
    </row>
    <row r="71" spans="1:5" ht="15.75" customHeight="1" x14ac:dyDescent="0.2">
      <c r="B71" s="3"/>
      <c r="C71" s="3"/>
      <c r="D71" s="3"/>
      <c r="E71" s="3"/>
    </row>
    <row r="72" spans="1:5" ht="15.75" customHeight="1" x14ac:dyDescent="0.2">
      <c r="B72" s="3"/>
      <c r="C72" s="3"/>
      <c r="D72" s="3"/>
      <c r="E72" s="3"/>
    </row>
    <row r="73" spans="1:5" ht="15.75" customHeight="1" x14ac:dyDescent="0.2">
      <c r="B73" s="3"/>
      <c r="C73" s="3"/>
      <c r="D73" s="3"/>
      <c r="E73" s="3"/>
    </row>
    <row r="74" spans="1:5" ht="15.75" customHeight="1" x14ac:dyDescent="0.2">
      <c r="B74" s="3"/>
      <c r="C74" s="3"/>
      <c r="D74" s="3"/>
      <c r="E74" s="3"/>
    </row>
    <row r="75" spans="1:5" ht="15.75" customHeight="1" x14ac:dyDescent="0.2">
      <c r="B75" s="3"/>
      <c r="C75" s="3"/>
      <c r="D75" s="3"/>
      <c r="E75" s="3"/>
    </row>
    <row r="76" spans="1:5" ht="15.75" customHeight="1" x14ac:dyDescent="0.2">
      <c r="B76" s="3"/>
      <c r="C76" s="3"/>
      <c r="D76" s="3"/>
      <c r="E76" s="3"/>
    </row>
    <row r="77" spans="1:5" ht="15.75" customHeight="1" x14ac:dyDescent="0.2">
      <c r="B77" s="3"/>
      <c r="C77" s="3"/>
      <c r="D77" s="3"/>
      <c r="E77" s="3"/>
    </row>
    <row r="78" spans="1:5" ht="15.75" customHeight="1" x14ac:dyDescent="0.2">
      <c r="B78" s="3"/>
      <c r="C78" s="3"/>
      <c r="D78" s="3"/>
      <c r="E78" s="3"/>
    </row>
    <row r="79" spans="1:5" ht="15.75" customHeight="1" x14ac:dyDescent="0.2">
      <c r="B79" s="3"/>
      <c r="C79" s="3"/>
      <c r="D79" s="3"/>
      <c r="E79" s="3"/>
    </row>
    <row r="80" spans="1:5" ht="15.75" customHeight="1" x14ac:dyDescent="0.2">
      <c r="A80" s="12" t="s">
        <v>26</v>
      </c>
      <c r="B80" s="12"/>
      <c r="C80" s="12"/>
      <c r="D80" s="12"/>
      <c r="E80" s="12"/>
    </row>
    <row r="81" spans="1:5" ht="15.75" customHeight="1" x14ac:dyDescent="0.2">
      <c r="A81" s="13" t="s">
        <v>26</v>
      </c>
      <c r="B81" s="13"/>
      <c r="C81" s="13"/>
      <c r="D81" s="13"/>
      <c r="E81" s="13"/>
    </row>
    <row r="82" spans="1:5" ht="15.75" customHeight="1" x14ac:dyDescent="0.2">
      <c r="A82" s="13" t="s">
        <v>26</v>
      </c>
      <c r="B82" s="13"/>
      <c r="C82" s="13"/>
      <c r="D82" s="13"/>
      <c r="E82" s="13"/>
    </row>
    <row r="83" spans="1:5" ht="15.75" customHeight="1" x14ac:dyDescent="0.2">
      <c r="A83" s="13" t="s">
        <v>26</v>
      </c>
      <c r="B83" s="13"/>
      <c r="C83" s="13"/>
      <c r="D83" s="13"/>
      <c r="E83" s="13"/>
    </row>
    <row r="84" spans="1:5" ht="15.75" customHeight="1" x14ac:dyDescent="0.2">
      <c r="A84" s="13" t="s">
        <v>26</v>
      </c>
      <c r="B84" s="13"/>
      <c r="C84" s="13"/>
      <c r="D84" s="13"/>
      <c r="E84" s="13"/>
    </row>
    <row r="85" spans="1:5" ht="15.75" customHeight="1" x14ac:dyDescent="0.2">
      <c r="A85" s="13" t="s">
        <v>26</v>
      </c>
      <c r="B85" s="13"/>
      <c r="C85" s="13"/>
      <c r="D85" s="13"/>
      <c r="E85" s="13"/>
    </row>
    <row r="86" spans="1:5" ht="15.75" customHeight="1" x14ac:dyDescent="0.2">
      <c r="A86" s="13" t="s">
        <v>26</v>
      </c>
      <c r="B86" s="13"/>
      <c r="C86" s="13"/>
      <c r="D86" s="13"/>
      <c r="E86" s="13"/>
    </row>
    <row r="87" spans="1:5" ht="15.75" customHeight="1" x14ac:dyDescent="0.2">
      <c r="A87" s="13" t="s">
        <v>26</v>
      </c>
      <c r="B87" s="13"/>
      <c r="C87" s="13"/>
      <c r="D87" s="13"/>
      <c r="E87" s="13"/>
    </row>
    <row r="88" spans="1:5" ht="15.75" customHeight="1" x14ac:dyDescent="0.2">
      <c r="A88" s="13" t="s">
        <v>26</v>
      </c>
      <c r="B88" s="13"/>
      <c r="C88" s="13"/>
      <c r="D88" s="13"/>
      <c r="E88" s="13"/>
    </row>
    <row r="89" spans="1:5" ht="15.75" customHeight="1" x14ac:dyDescent="0.2">
      <c r="A89" s="13" t="s">
        <v>26</v>
      </c>
      <c r="B89" s="13"/>
      <c r="C89" s="13"/>
      <c r="D89" s="13"/>
      <c r="E89" s="13"/>
    </row>
    <row r="90" spans="1:5" ht="15.75" customHeight="1" x14ac:dyDescent="0.2">
      <c r="A90" s="13" t="s">
        <v>26</v>
      </c>
      <c r="B90" s="13"/>
      <c r="C90" s="13"/>
      <c r="D90" s="13"/>
      <c r="E90" s="13"/>
    </row>
    <row r="91" spans="1:5" ht="15.75" customHeight="1" x14ac:dyDescent="0.2">
      <c r="A91" s="13" t="s">
        <v>26</v>
      </c>
      <c r="B91" s="13"/>
      <c r="C91" s="13"/>
      <c r="D91" s="13"/>
      <c r="E91" s="13"/>
    </row>
    <row r="92" spans="1:5" ht="15.75" customHeight="1" x14ac:dyDescent="0.2">
      <c r="A92" s="13" t="s">
        <v>26</v>
      </c>
      <c r="B92" s="13"/>
      <c r="C92" s="13"/>
      <c r="D92" s="13"/>
      <c r="E92" s="13"/>
    </row>
    <row r="93" spans="1:5" ht="15.75" customHeight="1" x14ac:dyDescent="0.2">
      <c r="A93" s="13" t="s">
        <v>26</v>
      </c>
      <c r="B93" s="15"/>
      <c r="C93" s="15"/>
      <c r="D93" s="15"/>
      <c r="E93" s="15"/>
    </row>
    <row r="94" spans="1:5" ht="15.75" customHeight="1" x14ac:dyDescent="0.2">
      <c r="A94" s="13" t="s">
        <v>26</v>
      </c>
      <c r="B94" s="15"/>
      <c r="C94" s="15"/>
      <c r="D94" s="15"/>
      <c r="E94" s="15"/>
    </row>
    <row r="95" spans="1:5" ht="15.75" customHeight="1" x14ac:dyDescent="0.2">
      <c r="A95" s="13" t="s">
        <v>26</v>
      </c>
      <c r="B95" s="18"/>
      <c r="C95" s="18"/>
      <c r="D95" s="18"/>
      <c r="E95" s="15"/>
    </row>
    <row r="96" spans="1:5" ht="15.75" customHeight="1" x14ac:dyDescent="0.2">
      <c r="A96" s="13" t="s">
        <v>26</v>
      </c>
      <c r="B96" s="18"/>
      <c r="C96" s="18"/>
      <c r="D96" s="18"/>
      <c r="E96" s="15"/>
    </row>
    <row r="97" spans="1:5" ht="15.75" customHeight="1" x14ac:dyDescent="0.2">
      <c r="A97" s="13" t="s">
        <v>26</v>
      </c>
      <c r="B97" s="18"/>
      <c r="C97" s="18"/>
      <c r="D97" s="18"/>
      <c r="E97" s="15"/>
    </row>
    <row r="98" spans="1:5" ht="15.75" customHeight="1" x14ac:dyDescent="0.2">
      <c r="A98" s="13" t="s">
        <v>26</v>
      </c>
      <c r="B98" s="18"/>
      <c r="C98" s="18"/>
      <c r="D98" s="18"/>
      <c r="E98" s="15"/>
    </row>
    <row r="99" spans="1:5" ht="15.75" customHeight="1" x14ac:dyDescent="0.2">
      <c r="A99" s="13" t="s">
        <v>26</v>
      </c>
      <c r="B99" s="18"/>
      <c r="C99" s="18"/>
      <c r="D99" s="18"/>
      <c r="E99" s="15"/>
    </row>
    <row r="100" spans="1:5" ht="15.75" customHeight="1" x14ac:dyDescent="0.2">
      <c r="A100" s="13" t="s">
        <v>26</v>
      </c>
      <c r="B100" s="18"/>
      <c r="C100" s="18"/>
      <c r="D100" s="18"/>
      <c r="E100" s="15"/>
    </row>
    <row r="101" spans="1:5" ht="15.75" customHeight="1" x14ac:dyDescent="0.2">
      <c r="A101" s="13" t="s">
        <v>26</v>
      </c>
      <c r="B101" s="18"/>
      <c r="C101" s="18"/>
      <c r="D101" s="18"/>
      <c r="E101" s="15"/>
    </row>
    <row r="102" spans="1:5" ht="15.75" customHeight="1" x14ac:dyDescent="0.2">
      <c r="A102" s="13" t="s">
        <v>26</v>
      </c>
      <c r="B102" s="24"/>
      <c r="C102" s="24"/>
      <c r="D102" s="24"/>
    </row>
    <row r="103" spans="1:5" ht="15.75" customHeight="1" x14ac:dyDescent="0.2">
      <c r="A103" s="13" t="s">
        <v>26</v>
      </c>
      <c r="B103" s="24"/>
      <c r="C103" s="24"/>
      <c r="D103" s="24"/>
    </row>
    <row r="104" spans="1:5" ht="15.75" customHeight="1" x14ac:dyDescent="0.2">
      <c r="A104" s="16" t="s">
        <v>26</v>
      </c>
      <c r="B104" s="24"/>
      <c r="C104" s="24"/>
      <c r="D104" s="24"/>
    </row>
    <row r="105" spans="1:5" ht="15.75" customHeight="1" x14ac:dyDescent="0.2">
      <c r="A105" s="13" t="s">
        <v>26</v>
      </c>
      <c r="B105" s="18"/>
      <c r="C105" s="18"/>
      <c r="D105" s="18"/>
      <c r="E105" s="15"/>
    </row>
    <row r="106" spans="1:5" ht="15.75" customHeight="1" x14ac:dyDescent="0.2">
      <c r="A106" s="13" t="s">
        <v>26</v>
      </c>
      <c r="B106" s="15"/>
      <c r="C106" s="15"/>
      <c r="D106" s="15"/>
      <c r="E106" s="15"/>
    </row>
    <row r="107" spans="1:5" ht="16.5" customHeight="1" x14ac:dyDescent="0.2">
      <c r="A107" s="13" t="s">
        <v>26</v>
      </c>
      <c r="B107" s="18"/>
      <c r="C107" s="18"/>
      <c r="D107" s="18"/>
      <c r="E107" s="15"/>
    </row>
    <row r="108" spans="1:5" ht="15.75" customHeight="1" x14ac:dyDescent="0.2">
      <c r="A108" s="13" t="s">
        <v>26</v>
      </c>
      <c r="B108" s="18"/>
      <c r="C108" s="18"/>
      <c r="D108" s="18"/>
      <c r="E108" s="15"/>
    </row>
    <row r="109" spans="1:5" ht="15.75" customHeight="1" x14ac:dyDescent="0.2">
      <c r="A109" s="13" t="s">
        <v>26</v>
      </c>
      <c r="B109" s="18"/>
      <c r="C109" s="18"/>
      <c r="D109" s="18"/>
      <c r="E109" s="15"/>
    </row>
    <row r="110" spans="1:5" ht="15.75" customHeight="1" x14ac:dyDescent="0.2">
      <c r="A110" s="13" t="s">
        <v>26</v>
      </c>
      <c r="B110" s="18"/>
      <c r="C110" s="18"/>
      <c r="D110" s="18"/>
      <c r="E110" s="15"/>
    </row>
    <row r="111" spans="1:5" ht="15.75" customHeight="1" x14ac:dyDescent="0.2">
      <c r="A111" s="13" t="s">
        <v>26</v>
      </c>
      <c r="B111" s="18"/>
      <c r="C111" s="18"/>
      <c r="D111" s="18"/>
      <c r="E111" s="15"/>
    </row>
    <row r="112" spans="1:5" ht="15.75" customHeight="1" x14ac:dyDescent="0.2">
      <c r="A112" s="13" t="s">
        <v>26</v>
      </c>
      <c r="B112" s="18"/>
      <c r="C112" s="18"/>
      <c r="D112" s="18"/>
      <c r="E112" s="15"/>
    </row>
    <row r="113" spans="1:5" ht="15.75" customHeight="1" x14ac:dyDescent="0.2">
      <c r="A113" s="13" t="s">
        <v>26</v>
      </c>
      <c r="B113" s="2"/>
      <c r="C113" s="2"/>
      <c r="D113" s="2"/>
    </row>
    <row r="114" spans="1:5" ht="15.75" customHeight="1" x14ac:dyDescent="0.2">
      <c r="A114" s="13" t="s">
        <v>26</v>
      </c>
      <c r="B114" s="18"/>
      <c r="C114" s="18"/>
      <c r="D114" s="18"/>
      <c r="E114" s="15"/>
    </row>
    <row r="115" spans="1:5" ht="15.75" customHeight="1" x14ac:dyDescent="0.2">
      <c r="A115" s="13" t="s">
        <v>26</v>
      </c>
      <c r="B115" s="18"/>
      <c r="C115" s="18"/>
      <c r="D115" s="18"/>
      <c r="E115" s="15"/>
    </row>
    <row r="116" spans="1:5" ht="15.75" customHeight="1" x14ac:dyDescent="0.2">
      <c r="A116" s="13" t="s">
        <v>26</v>
      </c>
      <c r="B116" s="18"/>
      <c r="C116" s="18"/>
      <c r="D116" s="18"/>
      <c r="E116" s="15"/>
    </row>
    <row r="117" spans="1:5" ht="15.75" customHeight="1" x14ac:dyDescent="0.2">
      <c r="A117" s="13" t="s">
        <v>26</v>
      </c>
      <c r="B117" s="18"/>
      <c r="C117" s="18"/>
      <c r="D117" s="18"/>
      <c r="E117" s="15"/>
    </row>
    <row r="118" spans="1:5" ht="15.75" customHeight="1" x14ac:dyDescent="0.2">
      <c r="A118" s="13" t="s">
        <v>26</v>
      </c>
      <c r="B118" s="24"/>
      <c r="C118" s="24"/>
      <c r="D118" s="24"/>
    </row>
    <row r="119" spans="1:5" ht="15.75" customHeight="1" x14ac:dyDescent="0.2">
      <c r="A119" s="13" t="s">
        <v>26</v>
      </c>
      <c r="B119" s="24"/>
      <c r="C119" s="24"/>
      <c r="D119" s="24"/>
    </row>
    <row r="120" spans="1:5" ht="15.75" customHeight="1" x14ac:dyDescent="0.2">
      <c r="A120" s="13" t="s">
        <v>26</v>
      </c>
      <c r="B120" s="24"/>
      <c r="C120" s="24"/>
      <c r="D120" s="24"/>
    </row>
    <row r="121" spans="1:5" ht="15.75" customHeight="1" x14ac:dyDescent="0.2">
      <c r="A121" s="13" t="s">
        <v>26</v>
      </c>
      <c r="B121" s="24"/>
      <c r="C121" s="24"/>
      <c r="D121" s="24"/>
    </row>
    <row r="122" spans="1:5" ht="15.75" customHeight="1" x14ac:dyDescent="0.2"/>
    <row r="123" spans="1:5" ht="15.75" customHeight="1" x14ac:dyDescent="0.2"/>
    <row r="124" spans="1:5" ht="15.75" customHeight="1" x14ac:dyDescent="0.2"/>
    <row r="125" spans="1:5" ht="15.75" customHeight="1" x14ac:dyDescent="0.2"/>
    <row r="126" spans="1:5" ht="15.75" customHeight="1" x14ac:dyDescent="0.2"/>
    <row r="127" spans="1:5" ht="15.75" customHeight="1" x14ac:dyDescent="0.2"/>
    <row r="128" spans="1:5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  <row r="1001" ht="15.75" customHeight="1" x14ac:dyDescent="0.2"/>
    <row r="1002" ht="15.75" customHeight="1" x14ac:dyDescent="0.2"/>
    <row r="1003" ht="15.75" customHeight="1" x14ac:dyDescent="0.2"/>
    <row r="1004" ht="15.75" customHeight="1" x14ac:dyDescent="0.2"/>
    <row r="1005" ht="15.75" customHeight="1" x14ac:dyDescent="0.2"/>
    <row r="1006" ht="15.75" customHeight="1" x14ac:dyDescent="0.2"/>
    <row r="1007" ht="15.75" customHeight="1" x14ac:dyDescent="0.2"/>
    <row r="1008" ht="15.75" customHeight="1" x14ac:dyDescent="0.2"/>
    <row r="1009" ht="15.75" customHeight="1" x14ac:dyDescent="0.2"/>
    <row r="1010" ht="15.75" customHeight="1" x14ac:dyDescent="0.2"/>
    <row r="1011" ht="15.75" customHeight="1" x14ac:dyDescent="0.2"/>
    <row r="1012" ht="15.75" customHeight="1" x14ac:dyDescent="0.2"/>
    <row r="1013" ht="15.75" customHeight="1" x14ac:dyDescent="0.2"/>
    <row r="1014" ht="15.75" customHeight="1" x14ac:dyDescent="0.2"/>
    <row r="1015" ht="15.75" customHeight="1" x14ac:dyDescent="0.2"/>
    <row r="1016" ht="15.75" customHeight="1" x14ac:dyDescent="0.2"/>
    <row r="1017" ht="15.75" customHeight="1" x14ac:dyDescent="0.2"/>
    <row r="1018" ht="15.75" customHeight="1" x14ac:dyDescent="0.2"/>
    <row r="1019" ht="15.75" customHeight="1" x14ac:dyDescent="0.2"/>
    <row r="1020" ht="15.75" customHeight="1" x14ac:dyDescent="0.2"/>
    <row r="1021" ht="15.75" customHeight="1" x14ac:dyDescent="0.2"/>
    <row r="1022" ht="15.75" customHeight="1" x14ac:dyDescent="0.2"/>
    <row r="1023" ht="15.75" customHeight="1" x14ac:dyDescent="0.2"/>
    <row r="1024" ht="15.75" customHeight="1" x14ac:dyDescent="0.2"/>
    <row r="1025" ht="15.75" customHeight="1" x14ac:dyDescent="0.2"/>
  </sheetData>
  <conditionalFormatting sqref="B19:C19 B26:C26">
    <cfRule type="cellIs" dxfId="2" priority="18" operator="lessThan">
      <formula>#REF!</formula>
    </cfRule>
  </conditionalFormatting>
  <dataValidations disablePrompts="1" count="1">
    <dataValidation type="list" allowBlank="1" sqref="A80:A121" xr:uid="{F47EBB0F-C040-44FA-A9AB-4FF9181444FB}">
      <formula1>"Mở,Đóng"</formula1>
    </dataValidation>
  </dataValidations>
  <pageMargins left="0.7" right="0.7" top="0.75" bottom="0.75" header="0" footer="0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43D610-933B-4711-9D42-5E7E1D1869D4}">
  <sheetPr codeName="Sheet4"/>
  <dimension ref="A2:J5"/>
  <sheetViews>
    <sheetView tabSelected="1" zoomScale="130" zoomScaleNormal="130" workbookViewId="0">
      <selection activeCell="AB28" sqref="AB28"/>
    </sheetView>
  </sheetViews>
  <sheetFormatPr defaultRowHeight="12.75" x14ac:dyDescent="0.2"/>
  <cols>
    <col min="1" max="1" width="7.42578125" style="117" customWidth="1"/>
    <col min="2" max="2" width="11.42578125" style="117" customWidth="1"/>
    <col min="3" max="16384" width="9.140625" style="117"/>
  </cols>
  <sheetData>
    <row r="2" spans="1:10" x14ac:dyDescent="0.2">
      <c r="A2" s="117" t="s">
        <v>174</v>
      </c>
      <c r="B2" s="120">
        <v>45870</v>
      </c>
    </row>
    <row r="3" spans="1:10" x14ac:dyDescent="0.2">
      <c r="A3" s="117" t="s">
        <v>175</v>
      </c>
      <c r="B3" s="120">
        <v>45899</v>
      </c>
    </row>
    <row r="5" spans="1:10" x14ac:dyDescent="0.2">
      <c r="A5" s="121"/>
      <c r="E5" s="122"/>
      <c r="J5" s="12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Update_Dashboard">
                <anchor moveWithCells="1" sizeWithCells="1">
                  <from>
                    <xdr:col>3</xdr:col>
                    <xdr:colOff>9525</xdr:colOff>
                    <xdr:row>0</xdr:row>
                    <xdr:rowOff>38100</xdr:rowOff>
                  </from>
                  <to>
                    <xdr:col>4</xdr:col>
                    <xdr:colOff>438150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C66150-7F8F-4B63-B765-6ACFCA84CD29}">
  <sheetPr codeName="Sheet8">
    <outlinePr summaryBelow="0" summaryRight="0"/>
  </sheetPr>
  <dimension ref="A1:P866"/>
  <sheetViews>
    <sheetView zoomScale="130" zoomScaleNormal="130" workbookViewId="0">
      <selection activeCell="L21" sqref="L21"/>
    </sheetView>
  </sheetViews>
  <sheetFormatPr defaultColWidth="14.42578125" defaultRowHeight="15" customHeight="1" x14ac:dyDescent="0.2"/>
  <cols>
    <col min="1" max="1" width="14.7109375" bestFit="1" customWidth="1"/>
    <col min="2" max="2" width="10.28515625" bestFit="1" customWidth="1"/>
    <col min="3" max="3" width="15" bestFit="1" customWidth="1"/>
    <col min="4" max="4" width="15.140625" bestFit="1" customWidth="1"/>
    <col min="5" max="6" width="5.5703125" bestFit="1" customWidth="1"/>
    <col min="7" max="8" width="10.140625" bestFit="1" customWidth="1"/>
    <col min="9" max="9" width="8.140625" bestFit="1" customWidth="1"/>
    <col min="10" max="10" width="9.28515625" bestFit="1" customWidth="1"/>
    <col min="11" max="11" width="8.140625" bestFit="1" customWidth="1"/>
    <col min="12" max="13" width="9.5703125" bestFit="1" customWidth="1"/>
    <col min="14" max="14" width="5.5703125" bestFit="1" customWidth="1"/>
    <col min="15" max="15" width="7.85546875" bestFit="1" customWidth="1"/>
    <col min="16" max="16" width="8.140625" style="33" bestFit="1" customWidth="1"/>
    <col min="17" max="17" width="25.5703125" customWidth="1"/>
    <col min="18" max="18" width="11.5703125" customWidth="1"/>
  </cols>
  <sheetData>
    <row r="1" spans="1:16" ht="15.75" customHeight="1" x14ac:dyDescent="0.2">
      <c r="A1" s="6" t="s">
        <v>135</v>
      </c>
      <c r="B1" s="47"/>
      <c r="C1" s="47"/>
      <c r="D1" s="3"/>
      <c r="E1" s="3"/>
      <c r="G1" s="3"/>
      <c r="H1" s="3"/>
    </row>
    <row r="2" spans="1:16" ht="15.75" customHeight="1" x14ac:dyDescent="0.2">
      <c r="A2" s="76"/>
      <c r="B2" s="77"/>
      <c r="C2" s="77"/>
      <c r="D2" s="3"/>
      <c r="E2" s="3"/>
      <c r="G2" s="3"/>
      <c r="H2" s="3"/>
    </row>
    <row r="3" spans="1:16" ht="15.75" customHeight="1" x14ac:dyDescent="0.2">
      <c r="A3" s="5" t="s">
        <v>148</v>
      </c>
      <c r="B3" s="78">
        <v>45899</v>
      </c>
      <c r="C3" s="3" t="s">
        <v>149</v>
      </c>
      <c r="F3" s="57"/>
      <c r="H3" s="3"/>
      <c r="N3" s="10"/>
      <c r="O3" s="10"/>
    </row>
    <row r="4" spans="1:16" ht="15.75" customHeight="1" x14ac:dyDescent="0.2">
      <c r="A4" s="5"/>
      <c r="B4" s="103"/>
      <c r="C4" s="3"/>
      <c r="F4" s="57"/>
      <c r="H4" s="3"/>
      <c r="N4" s="10"/>
      <c r="O4" s="10"/>
    </row>
    <row r="5" spans="1:16" ht="15.75" customHeight="1" x14ac:dyDescent="0.2">
      <c r="A5" s="114" t="s">
        <v>151</v>
      </c>
      <c r="B5" s="77">
        <v>3340</v>
      </c>
      <c r="F5" s="57"/>
      <c r="H5" s="3"/>
      <c r="N5" s="10"/>
      <c r="O5" s="10"/>
    </row>
    <row r="6" spans="1:16" ht="15.75" customHeight="1" x14ac:dyDescent="0.2">
      <c r="A6" s="114" t="s">
        <v>118</v>
      </c>
      <c r="B6" s="77">
        <v>1088</v>
      </c>
      <c r="F6" s="57"/>
      <c r="H6" s="3"/>
      <c r="N6" s="10"/>
      <c r="O6" s="10"/>
    </row>
    <row r="7" spans="1:16" ht="15.75" customHeight="1" x14ac:dyDescent="0.2">
      <c r="A7" s="114" t="s">
        <v>0</v>
      </c>
      <c r="B7" s="77">
        <v>4428</v>
      </c>
      <c r="F7" s="57"/>
      <c r="H7" s="3"/>
      <c r="N7" s="10"/>
      <c r="O7" s="10"/>
    </row>
    <row r="8" spans="1:16" ht="15.75" customHeight="1" x14ac:dyDescent="0.2">
      <c r="A8" s="113" t="s">
        <v>113</v>
      </c>
      <c r="B8" s="104">
        <v>5500</v>
      </c>
      <c r="D8" s="104"/>
      <c r="F8" s="57"/>
      <c r="H8" s="3"/>
      <c r="N8" s="10"/>
      <c r="O8" s="10"/>
    </row>
    <row r="9" spans="1:16" ht="15.75" customHeight="1" x14ac:dyDescent="0.2">
      <c r="A9" s="113" t="s">
        <v>114</v>
      </c>
      <c r="B9" s="104">
        <v>2000</v>
      </c>
      <c r="C9" s="113"/>
      <c r="D9" s="104"/>
      <c r="F9" s="57"/>
      <c r="H9" s="3"/>
      <c r="N9" s="10"/>
      <c r="O9" s="10"/>
    </row>
    <row r="10" spans="1:16" ht="15.75" customHeight="1" x14ac:dyDescent="0.2">
      <c r="A10" s="113" t="s">
        <v>115</v>
      </c>
      <c r="B10" s="104">
        <v>928</v>
      </c>
      <c r="C10" s="113"/>
      <c r="D10" s="104"/>
      <c r="F10" s="57"/>
      <c r="H10" s="3"/>
      <c r="N10" s="10"/>
      <c r="O10" s="10"/>
    </row>
    <row r="11" spans="1:16" ht="86.25" customHeight="1" x14ac:dyDescent="0.2">
      <c r="A11" s="113"/>
      <c r="B11" s="3"/>
      <c r="C11" s="3"/>
      <c r="H11" s="3"/>
    </row>
    <row r="12" spans="1:16" ht="31.5" customHeight="1" x14ac:dyDescent="0.2">
      <c r="A12" s="11" t="s">
        <v>129</v>
      </c>
      <c r="B12" s="11" t="s">
        <v>118</v>
      </c>
      <c r="C12" s="11" t="s">
        <v>130</v>
      </c>
      <c r="D12" s="11" t="s">
        <v>131</v>
      </c>
      <c r="E12" s="11" t="s">
        <v>132</v>
      </c>
      <c r="F12" s="11" t="s">
        <v>133</v>
      </c>
      <c r="G12" s="11" t="s">
        <v>134</v>
      </c>
      <c r="H12" s="11" t="s">
        <v>136</v>
      </c>
      <c r="I12" s="11" t="s">
        <v>137</v>
      </c>
      <c r="J12" s="11" t="s">
        <v>138</v>
      </c>
      <c r="K12" s="11" t="s">
        <v>139</v>
      </c>
      <c r="L12" s="11" t="s">
        <v>142</v>
      </c>
      <c r="M12" s="11" t="s">
        <v>141</v>
      </c>
      <c r="N12" s="11" t="s">
        <v>143</v>
      </c>
      <c r="O12" s="11" t="s">
        <v>145</v>
      </c>
      <c r="P12" s="35" t="s">
        <v>144</v>
      </c>
    </row>
    <row r="13" spans="1:16" ht="15.75" customHeight="1" x14ac:dyDescent="0.2">
      <c r="A13" s="79" t="s">
        <v>146</v>
      </c>
      <c r="B13" s="79" t="s">
        <v>34</v>
      </c>
      <c r="C13" s="80">
        <v>45874.458333333336</v>
      </c>
      <c r="D13" s="81">
        <v>45879.458333333336</v>
      </c>
      <c r="E13" s="82">
        <v>0.5</v>
      </c>
      <c r="F13" s="83">
        <v>2000</v>
      </c>
      <c r="G13" s="90">
        <v>4000</v>
      </c>
      <c r="H13" s="84"/>
      <c r="I13" s="82">
        <v>0.5</v>
      </c>
      <c r="J13" s="83">
        <v>3000</v>
      </c>
      <c r="K13" s="85">
        <v>6000</v>
      </c>
      <c r="L13" s="86">
        <v>0</v>
      </c>
      <c r="M13" s="87">
        <v>0</v>
      </c>
      <c r="N13" s="125">
        <v>1000</v>
      </c>
      <c r="O13" s="126">
        <v>0.5</v>
      </c>
      <c r="P13" s="88" t="s">
        <v>147</v>
      </c>
    </row>
    <row r="14" spans="1:16" ht="15.75" customHeight="1" x14ac:dyDescent="0.2">
      <c r="A14" s="79" t="s">
        <v>146</v>
      </c>
      <c r="B14" s="89" t="s">
        <v>35</v>
      </c>
      <c r="C14" s="80">
        <v>45875.458333333336</v>
      </c>
      <c r="D14" s="80">
        <v>45881.458333333336</v>
      </c>
      <c r="E14" s="82">
        <v>2</v>
      </c>
      <c r="F14" s="83">
        <v>400</v>
      </c>
      <c r="G14" s="90">
        <v>200</v>
      </c>
      <c r="H14" s="85"/>
      <c r="I14" s="86">
        <v>2</v>
      </c>
      <c r="J14" s="87">
        <v>340</v>
      </c>
      <c r="K14" s="90">
        <v>170</v>
      </c>
      <c r="L14" s="82">
        <v>0</v>
      </c>
      <c r="M14" s="91">
        <v>0</v>
      </c>
      <c r="N14" s="116">
        <v>-60</v>
      </c>
      <c r="O14" s="115">
        <v>-0.15</v>
      </c>
      <c r="P14" s="88" t="s">
        <v>147</v>
      </c>
    </row>
    <row r="15" spans="1:16" ht="15" customHeight="1" x14ac:dyDescent="0.2">
      <c r="A15" s="92" t="s">
        <v>128</v>
      </c>
      <c r="B15" s="92" t="s">
        <v>54</v>
      </c>
      <c r="C15" s="93">
        <v>45875.458333333336</v>
      </c>
      <c r="D15" s="93"/>
      <c r="E15" s="82">
        <v>0.01</v>
      </c>
      <c r="F15" s="83">
        <v>1100</v>
      </c>
      <c r="G15" s="85">
        <v>110000</v>
      </c>
      <c r="H15" s="85">
        <v>108816.33</v>
      </c>
      <c r="I15" s="82">
        <v>0</v>
      </c>
      <c r="J15" s="83">
        <v>0</v>
      </c>
      <c r="K15" s="85"/>
      <c r="L15" s="82">
        <v>0.01</v>
      </c>
      <c r="M15" s="83">
        <v>1088</v>
      </c>
      <c r="N15" s="123">
        <v>-12</v>
      </c>
      <c r="O15" s="124">
        <v>-1.0760636363636422E-2</v>
      </c>
      <c r="P15" s="96" t="s">
        <v>147</v>
      </c>
    </row>
    <row r="16" spans="1:16" ht="15.75" customHeight="1" x14ac:dyDescent="0.2">
      <c r="A16" s="97"/>
      <c r="B16" s="97"/>
      <c r="C16" s="93"/>
      <c r="D16" s="93"/>
      <c r="E16" s="82"/>
      <c r="F16" s="83"/>
      <c r="G16" s="87"/>
      <c r="H16" s="98"/>
      <c r="I16" s="82"/>
      <c r="J16" s="83"/>
      <c r="K16" s="85"/>
      <c r="L16" s="82"/>
      <c r="M16" s="83"/>
      <c r="N16" s="94"/>
      <c r="O16" s="95"/>
      <c r="P16" s="96"/>
    </row>
    <row r="17" spans="1:16" ht="15.75" customHeight="1" x14ac:dyDescent="0.2">
      <c r="A17" s="97"/>
      <c r="B17" s="97"/>
      <c r="C17" s="92"/>
      <c r="D17" s="92"/>
      <c r="E17" s="92"/>
      <c r="F17" s="92"/>
      <c r="G17" s="99"/>
      <c r="H17" s="100"/>
      <c r="I17" s="92"/>
      <c r="J17" s="92"/>
      <c r="K17" s="92"/>
      <c r="L17" s="92"/>
      <c r="M17" s="92"/>
      <c r="N17" s="92"/>
      <c r="O17" s="92"/>
      <c r="P17" s="96"/>
    </row>
    <row r="18" spans="1:16" ht="15.75" customHeight="1" x14ac:dyDescent="0.2">
      <c r="A18" s="97"/>
      <c r="B18" s="97"/>
      <c r="C18" s="92"/>
      <c r="D18" s="100"/>
      <c r="E18" s="100"/>
      <c r="F18" s="92"/>
      <c r="G18" s="99"/>
      <c r="H18" s="100"/>
      <c r="I18" s="92"/>
      <c r="J18" s="100"/>
      <c r="K18" s="92"/>
      <c r="L18" s="92"/>
      <c r="M18" s="92"/>
      <c r="N18" s="92"/>
      <c r="O18" s="92"/>
      <c r="P18" s="96"/>
    </row>
    <row r="19" spans="1:16" ht="15.75" customHeight="1" x14ac:dyDescent="0.2">
      <c r="A19" s="97"/>
      <c r="B19" s="97"/>
      <c r="C19" s="92"/>
      <c r="D19" s="92"/>
      <c r="E19" s="92"/>
      <c r="F19" s="92"/>
      <c r="G19" s="99"/>
      <c r="H19" s="100"/>
      <c r="I19" s="92"/>
      <c r="J19" s="92"/>
      <c r="K19" s="92"/>
      <c r="L19" s="92"/>
      <c r="M19" s="92"/>
      <c r="N19" s="92"/>
      <c r="O19" s="92"/>
      <c r="P19" s="96"/>
    </row>
    <row r="20" spans="1:16" ht="15.75" customHeight="1" x14ac:dyDescent="0.2">
      <c r="A20" s="97"/>
      <c r="B20" s="97"/>
      <c r="C20" s="92"/>
      <c r="D20" s="92"/>
      <c r="E20" s="100"/>
      <c r="F20" s="92"/>
      <c r="G20" s="99"/>
      <c r="H20" s="100"/>
      <c r="I20" s="92"/>
      <c r="J20" s="92"/>
      <c r="K20" s="92"/>
      <c r="L20" s="92"/>
      <c r="M20" s="92"/>
      <c r="N20" s="92"/>
      <c r="O20" s="92"/>
      <c r="P20" s="96"/>
    </row>
    <row r="21" spans="1:16" ht="15.75" customHeight="1" x14ac:dyDescent="0.2">
      <c r="A21" s="97"/>
      <c r="B21" s="97"/>
      <c r="C21" s="92"/>
      <c r="D21" s="100"/>
      <c r="E21" s="92"/>
      <c r="F21" s="92"/>
      <c r="G21" s="101"/>
      <c r="H21" s="92"/>
      <c r="I21" s="92"/>
      <c r="J21" s="100"/>
      <c r="K21" s="92"/>
      <c r="L21" s="92"/>
      <c r="M21" s="92"/>
      <c r="N21" s="92"/>
      <c r="O21" s="92"/>
      <c r="P21" s="96"/>
    </row>
    <row r="22" spans="1:16" ht="15.75" customHeight="1" x14ac:dyDescent="0.2">
      <c r="A22" s="97"/>
      <c r="B22" s="97"/>
      <c r="C22" s="92"/>
      <c r="D22" s="92"/>
      <c r="E22" s="92"/>
      <c r="F22" s="92"/>
      <c r="G22" s="99"/>
      <c r="H22" s="92"/>
      <c r="I22" s="92"/>
      <c r="J22" s="92"/>
      <c r="K22" s="92"/>
      <c r="L22" s="92"/>
      <c r="M22" s="92"/>
      <c r="N22" s="92"/>
      <c r="O22" s="92"/>
      <c r="P22" s="96"/>
    </row>
    <row r="23" spans="1:16" ht="15.75" customHeight="1" x14ac:dyDescent="0.2">
      <c r="A23" s="97"/>
      <c r="B23" s="97"/>
      <c r="C23" s="92"/>
      <c r="D23" s="92"/>
      <c r="E23" s="92"/>
      <c r="F23" s="92"/>
      <c r="G23" s="99"/>
      <c r="H23" s="92"/>
      <c r="I23" s="92"/>
      <c r="J23" s="92"/>
      <c r="K23" s="92"/>
      <c r="L23" s="92"/>
      <c r="M23" s="92"/>
      <c r="N23" s="92"/>
      <c r="O23" s="92"/>
      <c r="P23" s="96"/>
    </row>
    <row r="24" spans="1:16" ht="15.75" customHeight="1" x14ac:dyDescent="0.2">
      <c r="A24" s="97"/>
      <c r="B24" s="97"/>
      <c r="C24" s="92"/>
      <c r="D24" s="92"/>
      <c r="E24" s="92"/>
      <c r="F24" s="99"/>
      <c r="G24" s="99"/>
      <c r="H24" s="92"/>
      <c r="I24" s="92"/>
      <c r="J24" s="92"/>
      <c r="K24" s="92"/>
      <c r="L24" s="92"/>
      <c r="M24" s="92"/>
      <c r="N24" s="92"/>
      <c r="O24" s="92"/>
      <c r="P24" s="96"/>
    </row>
    <row r="25" spans="1:16" ht="15.75" customHeight="1" x14ac:dyDescent="0.2">
      <c r="A25" s="97"/>
      <c r="B25" s="102"/>
      <c r="C25" s="92"/>
      <c r="D25" s="92"/>
      <c r="E25" s="92"/>
      <c r="F25" s="99"/>
      <c r="G25" s="99"/>
      <c r="H25" s="92"/>
      <c r="I25" s="92"/>
      <c r="J25" s="92"/>
      <c r="K25" s="92"/>
      <c r="L25" s="92"/>
      <c r="M25" s="92"/>
      <c r="N25" s="92"/>
      <c r="O25" s="92"/>
      <c r="P25" s="96"/>
    </row>
    <row r="26" spans="1:16" ht="15.75" customHeight="1" x14ac:dyDescent="0.2">
      <c r="A26" s="14"/>
    </row>
    <row r="27" spans="1:16" ht="15.75" customHeight="1" x14ac:dyDescent="0.2">
      <c r="A27" s="14"/>
      <c r="G27" s="57"/>
    </row>
    <row r="28" spans="1:16" ht="15.75" customHeight="1" x14ac:dyDescent="0.2">
      <c r="A28" s="14"/>
    </row>
    <row r="29" spans="1:16" ht="15.75" customHeight="1" x14ac:dyDescent="0.2">
      <c r="A29" s="14"/>
    </row>
    <row r="30" spans="1:16" ht="15.75" customHeight="1" x14ac:dyDescent="0.2">
      <c r="A30" s="14"/>
    </row>
    <row r="31" spans="1:16" ht="15.75" customHeight="1" x14ac:dyDescent="0.2">
      <c r="A31" s="14"/>
      <c r="F31" s="37"/>
      <c r="J31" s="37"/>
    </row>
    <row r="32" spans="1:16" ht="15.75" customHeight="1" x14ac:dyDescent="0.2">
      <c r="F32" s="64"/>
      <c r="J32" s="64"/>
      <c r="M32" s="64"/>
    </row>
    <row r="33" spans="3:13" ht="15.75" customHeight="1" x14ac:dyDescent="0.2">
      <c r="F33" s="57"/>
      <c r="J33" s="57"/>
      <c r="M33" s="57"/>
    </row>
    <row r="34" spans="3:13" ht="15.75" customHeight="1" x14ac:dyDescent="0.2">
      <c r="F34" s="57"/>
      <c r="J34" s="57"/>
      <c r="M34" s="57"/>
    </row>
    <row r="35" spans="3:13" ht="15.75" customHeight="1" x14ac:dyDescent="0.2">
      <c r="C35" s="49"/>
      <c r="F35" s="64"/>
      <c r="J35" s="64"/>
      <c r="M35" s="64"/>
    </row>
    <row r="36" spans="3:13" ht="15.75" customHeight="1" x14ac:dyDescent="0.2">
      <c r="C36" s="49"/>
      <c r="F36" s="57"/>
      <c r="J36" s="63"/>
      <c r="M36" s="57"/>
    </row>
    <row r="37" spans="3:13" ht="15.75" customHeight="1" x14ac:dyDescent="0.2">
      <c r="C37" s="49"/>
      <c r="F37" s="57"/>
      <c r="J37" s="63"/>
      <c r="M37" s="57"/>
    </row>
    <row r="38" spans="3:13" ht="15.75" customHeight="1" x14ac:dyDescent="0.2">
      <c r="C38" s="49"/>
      <c r="F38" s="57"/>
      <c r="J38" s="63"/>
      <c r="M38" s="57"/>
    </row>
    <row r="39" spans="3:13" ht="15.75" customHeight="1" x14ac:dyDescent="0.2">
      <c r="C39" s="49"/>
      <c r="F39" s="64"/>
      <c r="J39" s="65"/>
      <c r="M39" s="64"/>
    </row>
    <row r="40" spans="3:13" ht="15.75" customHeight="1" x14ac:dyDescent="0.2">
      <c r="C40" s="49"/>
      <c r="F40" s="57"/>
      <c r="J40" s="63"/>
      <c r="M40" s="57"/>
    </row>
    <row r="41" spans="3:13" ht="15.75" customHeight="1" x14ac:dyDescent="0.2">
      <c r="C41" s="14"/>
      <c r="F41" s="57"/>
      <c r="J41" s="63"/>
      <c r="M41" s="57"/>
    </row>
    <row r="42" spans="3:13" ht="15.75" customHeight="1" x14ac:dyDescent="0.2">
      <c r="C42" s="14"/>
      <c r="D42" s="36"/>
      <c r="F42" s="57"/>
      <c r="J42" s="63"/>
      <c r="M42" s="57"/>
    </row>
    <row r="43" spans="3:13" ht="15.75" customHeight="1" x14ac:dyDescent="0.2">
      <c r="C43" s="14"/>
      <c r="D43" s="36"/>
      <c r="F43" s="57"/>
      <c r="J43" s="63"/>
      <c r="M43" s="57"/>
    </row>
    <row r="44" spans="3:13" ht="15.75" customHeight="1" x14ac:dyDescent="0.2">
      <c r="C44" s="14"/>
      <c r="D44" s="36"/>
      <c r="F44" s="57"/>
      <c r="J44" s="63"/>
      <c r="M44" s="57"/>
    </row>
    <row r="45" spans="3:13" ht="15.75" customHeight="1" x14ac:dyDescent="0.2">
      <c r="J45" s="63"/>
      <c r="M45" s="57"/>
    </row>
    <row r="46" spans="3:13" ht="15.75" customHeight="1" x14ac:dyDescent="0.2">
      <c r="J46" s="63"/>
      <c r="M46" s="63"/>
    </row>
    <row r="47" spans="3:13" ht="15.75" customHeight="1" x14ac:dyDescent="0.2">
      <c r="J47" s="63"/>
      <c r="M47" s="63"/>
    </row>
    <row r="48" spans="3:13" ht="15.75" customHeight="1" x14ac:dyDescent="0.2">
      <c r="J48" s="63"/>
      <c r="M48" s="63"/>
    </row>
    <row r="49" spans="6:13" ht="15.75" customHeight="1" x14ac:dyDescent="0.2">
      <c r="F49" s="57"/>
      <c r="J49" s="63"/>
      <c r="M49" s="63"/>
    </row>
    <row r="50" spans="6:13" ht="15.75" customHeight="1" x14ac:dyDescent="0.2">
      <c r="F50" s="57"/>
      <c r="M50" s="63"/>
    </row>
    <row r="51" spans="6:13" ht="15.75" customHeight="1" x14ac:dyDescent="0.2">
      <c r="M51" s="63"/>
    </row>
    <row r="52" spans="6:13" ht="15.75" customHeight="1" x14ac:dyDescent="0.2">
      <c r="M52" s="63"/>
    </row>
    <row r="53" spans="6:13" ht="15.75" customHeight="1" x14ac:dyDescent="0.2">
      <c r="M53" s="63"/>
    </row>
    <row r="54" spans="6:13" ht="15.75" customHeight="1" x14ac:dyDescent="0.2">
      <c r="M54" s="63"/>
    </row>
    <row r="55" spans="6:13" ht="15.75" customHeight="1" x14ac:dyDescent="0.2">
      <c r="M55" s="63"/>
    </row>
    <row r="56" spans="6:13" ht="15.75" customHeight="1" x14ac:dyDescent="0.2">
      <c r="M56" s="63"/>
    </row>
    <row r="57" spans="6:13" ht="15.75" customHeight="1" x14ac:dyDescent="0.2">
      <c r="M57" s="63"/>
    </row>
    <row r="58" spans="6:13" ht="15.75" customHeight="1" x14ac:dyDescent="0.2">
      <c r="M58" s="63"/>
    </row>
    <row r="59" spans="6:13" ht="15.75" customHeight="1" x14ac:dyDescent="0.2"/>
    <row r="60" spans="6:13" ht="15.75" customHeight="1" x14ac:dyDescent="0.2"/>
    <row r="61" spans="6:13" ht="15.75" customHeight="1" x14ac:dyDescent="0.2"/>
    <row r="62" spans="6:13" ht="15.75" customHeight="1" x14ac:dyDescent="0.2"/>
    <row r="63" spans="6:13" ht="15.75" customHeight="1" x14ac:dyDescent="0.2"/>
    <row r="64" spans="6:1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</sheetData>
  <autoFilter ref="A12:D15" xr:uid="{00000000-0009-0000-0000-000001000000}"/>
  <dataValidations disablePrompts="1" count="1">
    <dataValidation type="list" allowBlank="1" sqref="A13:A14" xr:uid="{5C32911D-7F61-4B68-BBDE-4383F8C4C6A2}">
      <formula1>"Mở,Đóng"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6" r:id="rId4" name="Button 2">
              <controlPr defaultSize="0" print="0" autoFill="0" autoPict="0" macro="[0]!Update_All_Position">
                <anchor moveWithCells="1" sizeWithCells="1">
                  <from>
                    <xdr:col>3</xdr:col>
                    <xdr:colOff>409575</xdr:colOff>
                    <xdr:row>0</xdr:row>
                    <xdr:rowOff>142875</xdr:rowOff>
                  </from>
                  <to>
                    <xdr:col>5</xdr:col>
                    <xdr:colOff>66675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5" name="Button 5">
              <controlPr defaultSize="0" print="0" autoFill="0" autoPict="0" macro="[0]!Take_Daily_Snapshot">
                <anchor moveWithCells="1" sizeWithCells="1">
                  <from>
                    <xdr:col>6</xdr:col>
                    <xdr:colOff>323850</xdr:colOff>
                    <xdr:row>0</xdr:row>
                    <xdr:rowOff>161925</xdr:rowOff>
                  </from>
                  <to>
                    <xdr:col>8</xdr:col>
                    <xdr:colOff>200025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6" name="Button 6">
              <controlPr defaultSize="0" print="0" autoFill="0" autoPict="0" macro="[0]!Update_All_Snapshot">
                <anchor moveWithCells="1" sizeWithCells="1">
                  <from>
                    <xdr:col>8</xdr:col>
                    <xdr:colOff>371475</xdr:colOff>
                    <xdr:row>0</xdr:row>
                    <xdr:rowOff>133350</xdr:rowOff>
                  </from>
                  <to>
                    <xdr:col>10</xdr:col>
                    <xdr:colOff>180975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42156-8E0B-43FF-9F7D-3A8B0079813C}">
  <sheetPr codeName="Sheet2">
    <outlinePr summaryBelow="0" summaryRight="0"/>
  </sheetPr>
  <dimension ref="A1:S880"/>
  <sheetViews>
    <sheetView zoomScale="130" zoomScaleNormal="130" workbookViewId="0">
      <selection activeCell="I33" sqref="I33"/>
    </sheetView>
  </sheetViews>
  <sheetFormatPr defaultColWidth="14.42578125" defaultRowHeight="15" customHeight="1" x14ac:dyDescent="0.2"/>
  <cols>
    <col min="1" max="1" width="15.140625" customWidth="1"/>
    <col min="2" max="2" width="9.42578125" customWidth="1"/>
    <col min="3" max="3" width="12.140625" customWidth="1"/>
    <col min="4" max="4" width="12" customWidth="1"/>
    <col min="5" max="5" width="8" customWidth="1"/>
    <col min="6" max="6" width="10.7109375" customWidth="1"/>
    <col min="7" max="7" width="9.42578125" customWidth="1"/>
    <col min="8" max="8" width="9.28515625" customWidth="1"/>
    <col min="9" max="9" width="5.140625" customWidth="1"/>
    <col min="10" max="10" width="11.28515625" customWidth="1"/>
    <col min="11" max="11" width="8.42578125" customWidth="1"/>
    <col min="12" max="12" width="8.28515625" customWidth="1"/>
    <col min="13" max="13" width="12.5703125" customWidth="1"/>
    <col min="14" max="14" width="8.28515625" customWidth="1"/>
    <col min="15" max="15" width="10.85546875" customWidth="1"/>
    <col min="16" max="16" width="9.42578125" customWidth="1"/>
    <col min="17" max="17" width="20.28515625" style="33" customWidth="1"/>
    <col min="18" max="18" width="25.5703125" customWidth="1"/>
    <col min="19" max="19" width="11.5703125" customWidth="1"/>
  </cols>
  <sheetData>
    <row r="1" spans="1:19" ht="18" x14ac:dyDescent="0.25">
      <c r="A1" s="1" t="s">
        <v>50</v>
      </c>
      <c r="F1" s="3" t="s">
        <v>40</v>
      </c>
      <c r="G1">
        <v>26000</v>
      </c>
    </row>
    <row r="2" spans="1:19" ht="15.75" customHeight="1" x14ac:dyDescent="0.2">
      <c r="A2" s="6" t="s">
        <v>11</v>
      </c>
      <c r="B2" s="47" t="s">
        <v>39</v>
      </c>
      <c r="C2" s="47" t="s">
        <v>27</v>
      </c>
      <c r="D2" s="3"/>
      <c r="E2" s="3"/>
      <c r="G2" s="3"/>
      <c r="H2" s="3"/>
    </row>
    <row r="3" spans="1:19" ht="15.75" customHeight="1" x14ac:dyDescent="0.2">
      <c r="A3" s="3" t="s">
        <v>31</v>
      </c>
      <c r="B3" s="3">
        <f>M7</f>
        <v>4353.4556819999989</v>
      </c>
      <c r="C3" s="3">
        <f>B3*$G$1</f>
        <v>113189847.73199998</v>
      </c>
      <c r="H3" s="3"/>
      <c r="O3" s="10"/>
    </row>
    <row r="4" spans="1:19" ht="15.75" customHeight="1" x14ac:dyDescent="0.2">
      <c r="A4" s="3" t="s">
        <v>107</v>
      </c>
      <c r="B4" s="48">
        <v>1232</v>
      </c>
      <c r="C4" s="3">
        <f>B4*$G$1</f>
        <v>32032000</v>
      </c>
      <c r="H4" s="3"/>
    </row>
    <row r="5" spans="1:19" ht="15.75" customHeight="1" x14ac:dyDescent="0.2">
      <c r="A5" s="3" t="s">
        <v>0</v>
      </c>
      <c r="B5" s="3">
        <f>B3+B4</f>
        <v>5585.4556819999989</v>
      </c>
      <c r="C5" s="3">
        <f>B5*$G$1</f>
        <v>145221847.73199996</v>
      </c>
      <c r="H5" s="3"/>
    </row>
    <row r="6" spans="1:19" ht="15.75" customHeight="1" x14ac:dyDescent="0.2">
      <c r="A6" s="3"/>
      <c r="B6" s="3"/>
    </row>
    <row r="7" spans="1:19" ht="15.75" customHeight="1" x14ac:dyDescent="0.2">
      <c r="A7" s="6" t="s">
        <v>12</v>
      </c>
      <c r="B7" s="6"/>
      <c r="D7" s="3"/>
      <c r="E7" s="3"/>
      <c r="F7" s="5"/>
      <c r="G7" s="3"/>
      <c r="H7" s="3"/>
      <c r="J7" s="5">
        <f>SUMIF(A9:A81,"Mở",J9:J81)</f>
        <v>40.200000000000003</v>
      </c>
      <c r="M7" s="5">
        <f>SUMIF(A9:A81,"Mở",M9:M81)</f>
        <v>4353.4556819999989</v>
      </c>
      <c r="N7" s="42"/>
      <c r="O7" s="46">
        <f>SUMIF(A9:A81,"Mở",O9:O81)</f>
        <v>1039.7656820000002</v>
      </c>
      <c r="P7" s="17">
        <f>O7/SUMIF(A9:A81,"Mở",F9:F81)</f>
        <v>0.31001782467522787</v>
      </c>
      <c r="Q7" s="34"/>
      <c r="S7" s="2"/>
    </row>
    <row r="8" spans="1:19" ht="31.5" customHeight="1" x14ac:dyDescent="0.2">
      <c r="A8" s="11" t="s">
        <v>13</v>
      </c>
      <c r="B8" s="11" t="s">
        <v>32</v>
      </c>
      <c r="C8" s="11" t="s">
        <v>14</v>
      </c>
      <c r="D8" s="11" t="s">
        <v>15</v>
      </c>
      <c r="E8" s="11" t="s">
        <v>16</v>
      </c>
      <c r="F8" s="11" t="s">
        <v>17</v>
      </c>
      <c r="G8" s="11" t="s">
        <v>18</v>
      </c>
      <c r="H8" s="11" t="s">
        <v>19</v>
      </c>
      <c r="I8" s="11" t="s">
        <v>20</v>
      </c>
      <c r="J8" s="11" t="s">
        <v>21</v>
      </c>
      <c r="K8" s="11" t="s">
        <v>22</v>
      </c>
      <c r="L8" s="43" t="s">
        <v>29</v>
      </c>
      <c r="M8" s="11" t="s">
        <v>23</v>
      </c>
      <c r="N8" s="43" t="s">
        <v>60</v>
      </c>
      <c r="O8" s="11" t="s">
        <v>24</v>
      </c>
      <c r="P8" s="11" t="s">
        <v>25</v>
      </c>
      <c r="Q8" s="35" t="s">
        <v>59</v>
      </c>
    </row>
    <row r="9" spans="1:19" ht="15.75" customHeight="1" x14ac:dyDescent="0.2">
      <c r="A9" s="13" t="s">
        <v>26</v>
      </c>
      <c r="B9" s="14" t="s">
        <v>54</v>
      </c>
      <c r="C9" s="14">
        <v>45396</v>
      </c>
      <c r="D9" s="62">
        <v>45676</v>
      </c>
      <c r="E9">
        <f>0.00031+0.00157+0.00615+0.00667+0.00345+0.00555</f>
        <v>2.3699999999999999E-2</v>
      </c>
      <c r="F9">
        <f>20+94.2+400+400+190+300</f>
        <v>1404.2</v>
      </c>
      <c r="G9" s="39">
        <f>F9/E9</f>
        <v>59248.945147679333</v>
      </c>
      <c r="H9" s="36">
        <v>118264.04</v>
      </c>
      <c r="I9">
        <f>0.006+0.003+0.006+0.0027+0.0007+0.0032+0.0001+0.002</f>
        <v>2.3699999999999999E-2</v>
      </c>
      <c r="J9">
        <f>434+279+564+274+77+318+10.7+166</f>
        <v>2122.6999999999998</v>
      </c>
      <c r="K9">
        <f>J9/I9</f>
        <v>89565.400843881856</v>
      </c>
      <c r="L9" s="36">
        <f t="shared" ref="L9" si="0">E9-I9</f>
        <v>0</v>
      </c>
      <c r="M9" s="54">
        <f t="shared" ref="M9" si="1">(E9-I9)*H9</f>
        <v>0</v>
      </c>
      <c r="N9" s="55">
        <f t="shared" ref="N9:N19" si="2">M9/SUM($M$9:$M$29)</f>
        <v>0</v>
      </c>
      <c r="O9" s="39">
        <f t="shared" ref="O9" si="3">(J9+M9)-F9</f>
        <v>718.49999999999977</v>
      </c>
      <c r="P9" s="56">
        <f t="shared" ref="P9" si="4">O9/F9</f>
        <v>0.51167924797037445</v>
      </c>
      <c r="Q9" s="58" t="s">
        <v>78</v>
      </c>
    </row>
    <row r="10" spans="1:19" ht="15.75" customHeight="1" x14ac:dyDescent="0.2">
      <c r="A10" s="13" t="s">
        <v>33</v>
      </c>
      <c r="B10" s="68" t="s">
        <v>34</v>
      </c>
      <c r="C10" s="14">
        <v>44874</v>
      </c>
      <c r="D10" s="14"/>
      <c r="E10">
        <f>0.02+0.0318+0.0562+0.055+0.0651+0.1363+0.084+0.0714+0.04</f>
        <v>0.55980000000000008</v>
      </c>
      <c r="F10">
        <f>26.28+94.4+180+176+195+300+208+150+123</f>
        <v>1452.68</v>
      </c>
      <c r="G10" s="39">
        <f>F10/E10</f>
        <v>2594.9982136477311</v>
      </c>
      <c r="H10">
        <v>4537</v>
      </c>
      <c r="I10" s="36">
        <v>0.01</v>
      </c>
      <c r="J10" s="36">
        <v>40.200000000000003</v>
      </c>
      <c r="K10" s="26">
        <f>IF(I10&gt;0,J10/I10,"-")</f>
        <v>4020</v>
      </c>
      <c r="L10">
        <f>E10-I10</f>
        <v>0.54980000000000007</v>
      </c>
      <c r="M10" s="50">
        <f>(E10-I10)*H10</f>
        <v>2494.4426000000003</v>
      </c>
      <c r="N10" s="55">
        <f t="shared" si="2"/>
        <v>0.56362893697663785</v>
      </c>
      <c r="O10" s="45">
        <f>(J10+M10)-F10</f>
        <v>1081.9626000000001</v>
      </c>
      <c r="P10" s="17">
        <f>O10/F10</f>
        <v>0.74480449927031422</v>
      </c>
      <c r="Q10" s="58" t="s">
        <v>61</v>
      </c>
    </row>
    <row r="11" spans="1:19" ht="15.75" customHeight="1" x14ac:dyDescent="0.2">
      <c r="A11" s="13" t="s">
        <v>33</v>
      </c>
      <c r="B11" s="49" t="s">
        <v>35</v>
      </c>
      <c r="C11" s="14">
        <v>45885</v>
      </c>
      <c r="E11">
        <f>2.316</f>
        <v>2.3159999999999998</v>
      </c>
      <c r="F11">
        <v>435.57</v>
      </c>
      <c r="G11" s="39">
        <f t="shared" ref="G11:G28" si="5">F11/E11</f>
        <v>188.06994818652851</v>
      </c>
      <c r="H11" s="36">
        <v>191.81</v>
      </c>
      <c r="I11" s="36">
        <v>0</v>
      </c>
      <c r="J11" s="36">
        <v>0</v>
      </c>
      <c r="K11" s="26" t="str">
        <f>IF(I11&gt;0,J11/I11,"-")</f>
        <v>-</v>
      </c>
      <c r="L11">
        <f t="shared" ref="L11:L13" si="6">E11-I11</f>
        <v>2.3159999999999998</v>
      </c>
      <c r="M11" s="50">
        <f t="shared" ref="M11:M13" si="7">(E11-I11)*H11</f>
        <v>444.23195999999996</v>
      </c>
      <c r="N11" s="55">
        <f t="shared" si="2"/>
        <v>0.10037592662418782</v>
      </c>
      <c r="O11" s="45">
        <f t="shared" ref="O11:O13" si="8">(J11+M11)-F11</f>
        <v>8.661959999999965</v>
      </c>
      <c r="P11" s="17">
        <f t="shared" ref="P11:P13" si="9">O11/F11</f>
        <v>1.9886493560162467E-2</v>
      </c>
      <c r="Q11" s="58" t="s">
        <v>79</v>
      </c>
    </row>
    <row r="12" spans="1:19" ht="15.75" customHeight="1" x14ac:dyDescent="0.2">
      <c r="A12" s="13" t="s">
        <v>33</v>
      </c>
      <c r="B12" s="68" t="s">
        <v>85</v>
      </c>
      <c r="C12" s="14">
        <v>45885</v>
      </c>
      <c r="E12">
        <f>0.5895</f>
        <v>0.58950000000000002</v>
      </c>
      <c r="F12">
        <v>492.95</v>
      </c>
      <c r="G12" s="39">
        <f t="shared" si="5"/>
        <v>836.21713316369801</v>
      </c>
      <c r="H12" s="36">
        <v>862.42</v>
      </c>
      <c r="I12" s="36"/>
      <c r="J12" s="36"/>
      <c r="K12" s="26" t="str">
        <f>IF(I12&gt;0,J12/I12,"-")</f>
        <v>-</v>
      </c>
      <c r="L12">
        <f t="shared" si="6"/>
        <v>0.58950000000000002</v>
      </c>
      <c r="M12" s="50">
        <f t="shared" si="7"/>
        <v>508.39659</v>
      </c>
      <c r="N12" s="55">
        <f t="shared" si="2"/>
        <v>0.11487417252425354</v>
      </c>
      <c r="O12" s="45">
        <f t="shared" si="8"/>
        <v>15.446590000000015</v>
      </c>
      <c r="P12" s="17">
        <f t="shared" si="9"/>
        <v>3.133500355005582E-2</v>
      </c>
      <c r="Q12" s="58" t="s">
        <v>61</v>
      </c>
      <c r="R12" s="58"/>
    </row>
    <row r="13" spans="1:19" ht="15.75" customHeight="1" x14ac:dyDescent="0.2">
      <c r="A13" s="13" t="s">
        <v>33</v>
      </c>
      <c r="B13" s="68" t="s">
        <v>37</v>
      </c>
      <c r="C13" s="14">
        <v>45885</v>
      </c>
      <c r="E13">
        <f>408.8</f>
        <v>408.8</v>
      </c>
      <c r="F13">
        <v>394.09</v>
      </c>
      <c r="G13" s="39">
        <f t="shared" si="5"/>
        <v>0.96401663405088056</v>
      </c>
      <c r="H13" s="36">
        <v>0.95330000000000004</v>
      </c>
      <c r="K13" s="26" t="str">
        <f>IF(I13&gt;0,J13/I13,"-")</f>
        <v>-</v>
      </c>
      <c r="L13">
        <f t="shared" si="6"/>
        <v>408.8</v>
      </c>
      <c r="M13" s="50">
        <f t="shared" si="7"/>
        <v>389.70904000000002</v>
      </c>
      <c r="N13" s="55">
        <f t="shared" si="2"/>
        <v>8.8056262327056975E-2</v>
      </c>
      <c r="O13" s="45">
        <f t="shared" si="8"/>
        <v>-4.3809599999999591</v>
      </c>
      <c r="P13" s="17">
        <f t="shared" si="9"/>
        <v>-1.1116648481311272E-2</v>
      </c>
      <c r="Q13" s="58" t="s">
        <v>61</v>
      </c>
    </row>
    <row r="14" spans="1:19" ht="15" customHeight="1" x14ac:dyDescent="0.2">
      <c r="A14" s="13" t="s">
        <v>33</v>
      </c>
      <c r="B14" s="68" t="s">
        <v>106</v>
      </c>
      <c r="C14" s="14">
        <v>45885</v>
      </c>
      <c r="E14">
        <v>25.1</v>
      </c>
      <c r="F14">
        <v>92.82</v>
      </c>
      <c r="G14" s="39">
        <f t="shared" si="5"/>
        <v>3.6980079681274898</v>
      </c>
      <c r="H14" s="36">
        <v>3.8119999999999998</v>
      </c>
      <c r="K14" s="26" t="str">
        <f>IF(I14&gt;0,J14/I14,"-")</f>
        <v>-</v>
      </c>
      <c r="L14">
        <f t="shared" ref="L14" si="10">E14-I14</f>
        <v>25.1</v>
      </c>
      <c r="M14" s="50">
        <f t="shared" ref="M14" si="11">(E14-I14)*H14</f>
        <v>95.681200000000004</v>
      </c>
      <c r="N14" s="55">
        <f t="shared" si="2"/>
        <v>2.1619536582901961E-2</v>
      </c>
      <c r="O14" s="45">
        <f t="shared" ref="O14" si="12">(J14+M14)-F14</f>
        <v>2.8612000000000108</v>
      </c>
      <c r="P14" s="17">
        <f t="shared" ref="P14" si="13">O14/F14</f>
        <v>3.0825253178194473E-2</v>
      </c>
      <c r="Q14" s="58" t="s">
        <v>61</v>
      </c>
    </row>
    <row r="15" spans="1:19" ht="15" customHeight="1" x14ac:dyDescent="0.2">
      <c r="A15" s="13" t="s">
        <v>33</v>
      </c>
      <c r="B15" s="67" t="s">
        <v>90</v>
      </c>
      <c r="C15" s="14"/>
      <c r="E15">
        <v>2059</v>
      </c>
      <c r="F15">
        <v>50.51</v>
      </c>
      <c r="G15" s="39">
        <f t="shared" si="5"/>
        <v>2.4531325886352599E-2</v>
      </c>
      <c r="H15" s="36">
        <v>2.495E-2</v>
      </c>
      <c r="K15" s="26" t="str">
        <f t="shared" ref="K15:K28" si="14">IF(I15&gt;0,J15/I15,"-")</f>
        <v>-</v>
      </c>
      <c r="L15">
        <f t="shared" ref="L15:L25" si="15">E15-I15</f>
        <v>2059</v>
      </c>
      <c r="M15" s="50">
        <f t="shared" ref="M15:M17" si="16">(E15-I15)*H15</f>
        <v>51.372050000000002</v>
      </c>
      <c r="N15" s="55">
        <f t="shared" si="2"/>
        <v>1.1607713054535987E-2</v>
      </c>
      <c r="O15" s="45">
        <f t="shared" ref="O15:O17" si="17">(J15+M15)-F15</f>
        <v>0.86205000000000354</v>
      </c>
      <c r="P15" s="17">
        <f t="shared" ref="P15:P17" si="18">O15/F15</f>
        <v>1.7066917442090747E-2</v>
      </c>
      <c r="Q15" s="58" t="s">
        <v>61</v>
      </c>
    </row>
    <row r="16" spans="1:19" ht="15" customHeight="1" x14ac:dyDescent="0.2">
      <c r="A16" s="13" t="s">
        <v>33</v>
      </c>
      <c r="B16" s="67" t="s">
        <v>88</v>
      </c>
      <c r="C16" s="14"/>
      <c r="E16">
        <v>146.86000000000001</v>
      </c>
      <c r="F16">
        <v>37.49</v>
      </c>
      <c r="G16" s="39">
        <f t="shared" si="5"/>
        <v>0.25527713468609559</v>
      </c>
      <c r="H16" s="36">
        <v>0.26519999999999999</v>
      </c>
      <c r="K16" s="26" t="str">
        <f t="shared" si="14"/>
        <v>-</v>
      </c>
      <c r="L16">
        <f t="shared" si="15"/>
        <v>146.86000000000001</v>
      </c>
      <c r="M16" s="50">
        <f t="shared" si="16"/>
        <v>38.947272000000005</v>
      </c>
      <c r="N16" s="55">
        <f t="shared" si="2"/>
        <v>8.8002864910581517E-3</v>
      </c>
      <c r="O16" s="45">
        <f t="shared" si="17"/>
        <v>1.4572720000000032</v>
      </c>
      <c r="P16" s="17">
        <f t="shared" si="18"/>
        <v>3.8870952253934464E-2</v>
      </c>
      <c r="Q16" s="58" t="s">
        <v>61</v>
      </c>
    </row>
    <row r="17" spans="1:18" ht="15" customHeight="1" x14ac:dyDescent="0.2">
      <c r="A17" s="13" t="s">
        <v>33</v>
      </c>
      <c r="B17" s="67" t="s">
        <v>87</v>
      </c>
      <c r="C17" s="14"/>
      <c r="E17">
        <v>9.89</v>
      </c>
      <c r="F17">
        <v>27.08</v>
      </c>
      <c r="G17" s="39">
        <f t="shared" si="5"/>
        <v>2.7381193124368046</v>
      </c>
      <c r="H17" s="36">
        <v>2.7610000000000001</v>
      </c>
      <c r="K17" s="26" t="str">
        <f t="shared" si="14"/>
        <v>-</v>
      </c>
      <c r="L17">
        <f t="shared" si="15"/>
        <v>9.89</v>
      </c>
      <c r="M17" s="50">
        <f t="shared" si="16"/>
        <v>27.306290000000004</v>
      </c>
      <c r="N17" s="55">
        <f t="shared" si="2"/>
        <v>6.1699616601623933E-3</v>
      </c>
      <c r="O17" s="45">
        <f t="shared" si="17"/>
        <v>0.22629000000000588</v>
      </c>
      <c r="P17" s="17">
        <f t="shared" si="18"/>
        <v>8.3563515509603361E-3</v>
      </c>
      <c r="Q17" s="58" t="s">
        <v>61</v>
      </c>
    </row>
    <row r="18" spans="1:18" ht="15" customHeight="1" x14ac:dyDescent="0.2">
      <c r="A18" s="13"/>
      <c r="B18" s="68" t="s">
        <v>116</v>
      </c>
      <c r="C18" s="14">
        <v>45885</v>
      </c>
      <c r="E18">
        <v>76.028000000000006</v>
      </c>
      <c r="F18">
        <v>73.19</v>
      </c>
      <c r="G18" s="39">
        <f t="shared" ref="G18" si="19">F18/E18</f>
        <v>0.96267164728784127</v>
      </c>
      <c r="H18" s="36">
        <v>0.95</v>
      </c>
      <c r="K18" s="26" t="str">
        <f t="shared" ref="K18" si="20">IF(I18&gt;0,J18/I18,"-")</f>
        <v>-</v>
      </c>
      <c r="L18">
        <f t="shared" ref="L18" si="21">E18-I18</f>
        <v>76.028000000000006</v>
      </c>
      <c r="M18" s="50">
        <f t="shared" ref="M18" si="22">(E18-I18)*H18</f>
        <v>72.226600000000005</v>
      </c>
      <c r="N18" s="55">
        <f t="shared" si="2"/>
        <v>1.6319879150330754E-2</v>
      </c>
      <c r="O18" s="45">
        <f t="shared" ref="O18" si="23">(J18+M18)-F18</f>
        <v>-0.96339999999999293</v>
      </c>
      <c r="P18" s="17">
        <f t="shared" ref="P18" si="24">O18/F18</f>
        <v>-1.3163000409891965E-2</v>
      </c>
      <c r="Q18" s="58" t="s">
        <v>79</v>
      </c>
    </row>
    <row r="19" spans="1:18" ht="15" customHeight="1" x14ac:dyDescent="0.2">
      <c r="A19" s="13" t="s">
        <v>33</v>
      </c>
      <c r="B19" s="68" t="s">
        <v>84</v>
      </c>
      <c r="C19" s="14"/>
      <c r="E19">
        <v>93.75</v>
      </c>
      <c r="F19">
        <v>93.13</v>
      </c>
      <c r="G19" s="39">
        <f t="shared" si="5"/>
        <v>0.99338666666666664</v>
      </c>
      <c r="H19" s="36">
        <v>1.008</v>
      </c>
      <c r="K19" s="26" t="str">
        <f t="shared" si="14"/>
        <v>-</v>
      </c>
      <c r="L19" s="36">
        <f t="shared" si="15"/>
        <v>93.75</v>
      </c>
      <c r="M19" s="50">
        <f t="shared" ref="M19:M25" si="25">(E19-I19)*H19</f>
        <v>94.5</v>
      </c>
      <c r="N19" s="55">
        <f t="shared" si="2"/>
        <v>2.1352639882069153E-2</v>
      </c>
      <c r="O19" s="45">
        <f t="shared" ref="O19:O25" si="26">(J19+M19)-F19</f>
        <v>1.3700000000000045</v>
      </c>
      <c r="P19" s="17">
        <f t="shared" ref="P19:P25" si="27">O19/F19</f>
        <v>1.4710619564050302E-2</v>
      </c>
      <c r="Q19" s="58" t="s">
        <v>79</v>
      </c>
    </row>
    <row r="20" spans="1:18" ht="15" customHeight="1" x14ac:dyDescent="0.2">
      <c r="A20" s="13"/>
      <c r="B20" s="68"/>
      <c r="C20" s="14"/>
      <c r="G20" s="39"/>
      <c r="H20" s="36"/>
      <c r="K20" s="26"/>
      <c r="L20" s="36"/>
      <c r="M20" s="50"/>
      <c r="N20" s="55"/>
      <c r="O20" s="45"/>
      <c r="P20" s="17"/>
      <c r="Q20" s="58"/>
    </row>
    <row r="21" spans="1:18" ht="15" customHeight="1" x14ac:dyDescent="0.2">
      <c r="A21" s="13" t="s">
        <v>33</v>
      </c>
      <c r="B21" s="68" t="s">
        <v>95</v>
      </c>
      <c r="C21" s="14"/>
      <c r="E21">
        <v>2.4990000000000001</v>
      </c>
      <c r="F21">
        <v>54.9</v>
      </c>
      <c r="G21" s="39">
        <f t="shared" si="5"/>
        <v>21.968787515005999</v>
      </c>
      <c r="H21" s="36">
        <v>24.56</v>
      </c>
      <c r="K21" s="26" t="str">
        <f t="shared" si="14"/>
        <v>-</v>
      </c>
      <c r="L21" s="36">
        <f t="shared" si="15"/>
        <v>2.4990000000000001</v>
      </c>
      <c r="M21" s="50">
        <f t="shared" si="25"/>
        <v>61.375439999999998</v>
      </c>
      <c r="N21" s="55">
        <f>M21/SUM($M$9:$M$29)</f>
        <v>1.3868017649984575E-2</v>
      </c>
      <c r="O21" s="45">
        <f t="shared" si="26"/>
        <v>6.475439999999999</v>
      </c>
      <c r="P21" s="17">
        <f t="shared" si="27"/>
        <v>0.11794972677595626</v>
      </c>
      <c r="Q21" s="58" t="s">
        <v>79</v>
      </c>
    </row>
    <row r="22" spans="1:18" ht="15" customHeight="1" x14ac:dyDescent="0.2">
      <c r="A22" s="13" t="s">
        <v>33</v>
      </c>
      <c r="B22" s="68" t="s">
        <v>93</v>
      </c>
      <c r="C22" s="14"/>
      <c r="E22">
        <v>3.82</v>
      </c>
      <c r="F22">
        <v>41.51</v>
      </c>
      <c r="G22" s="39">
        <f t="shared" si="5"/>
        <v>10.866492146596858</v>
      </c>
      <c r="H22" s="36">
        <v>11.151999999999999</v>
      </c>
      <c r="K22" s="26" t="str">
        <f t="shared" si="14"/>
        <v>-</v>
      </c>
      <c r="L22" s="36">
        <f t="shared" si="15"/>
        <v>3.82</v>
      </c>
      <c r="M22" s="50">
        <f t="shared" si="25"/>
        <v>42.600639999999999</v>
      </c>
      <c r="N22" s="55">
        <f>M22/SUM($M$9:$M$29)</f>
        <v>9.6257790969912216E-3</v>
      </c>
      <c r="O22" s="45">
        <f t="shared" si="26"/>
        <v>1.0906400000000005</v>
      </c>
      <c r="P22" s="17">
        <f t="shared" si="27"/>
        <v>2.6274150807034463E-2</v>
      </c>
      <c r="Q22" s="58" t="s">
        <v>79</v>
      </c>
    </row>
    <row r="23" spans="1:18" ht="15" customHeight="1" x14ac:dyDescent="0.2">
      <c r="A23" s="13" t="s">
        <v>33</v>
      </c>
      <c r="B23" s="68" t="s">
        <v>94</v>
      </c>
      <c r="C23" s="14"/>
      <c r="E23">
        <v>2.37</v>
      </c>
      <c r="F23">
        <v>31.19</v>
      </c>
      <c r="G23" s="39">
        <f t="shared" si="5"/>
        <v>13.160337552742616</v>
      </c>
      <c r="H23" s="36">
        <v>15.16</v>
      </c>
      <c r="K23" s="26" t="str">
        <f t="shared" si="14"/>
        <v>-</v>
      </c>
      <c r="L23" s="36">
        <f t="shared" si="15"/>
        <v>2.37</v>
      </c>
      <c r="M23" s="50">
        <f t="shared" si="25"/>
        <v>35.929200000000002</v>
      </c>
      <c r="N23" s="55">
        <f>M23/SUM($M$9:$M$29)</f>
        <v>8.1183414693210484E-3</v>
      </c>
      <c r="O23" s="45">
        <f t="shared" si="26"/>
        <v>4.7392000000000003</v>
      </c>
      <c r="P23" s="17">
        <f t="shared" si="27"/>
        <v>0.15194613658223791</v>
      </c>
      <c r="Q23" s="58" t="s">
        <v>79</v>
      </c>
    </row>
    <row r="24" spans="1:18" ht="15" customHeight="1" x14ac:dyDescent="0.2">
      <c r="A24" s="13"/>
      <c r="B24" s="68"/>
      <c r="C24" s="14"/>
      <c r="G24" s="39"/>
      <c r="H24" s="36"/>
      <c r="K24" s="26"/>
      <c r="L24" s="36"/>
      <c r="M24" s="50"/>
      <c r="N24" s="55"/>
      <c r="O24" s="45"/>
      <c r="P24" s="17"/>
      <c r="Q24" s="58"/>
    </row>
    <row r="25" spans="1:18" ht="15" customHeight="1" x14ac:dyDescent="0.2">
      <c r="A25" s="13" t="s">
        <v>33</v>
      </c>
      <c r="B25" s="68" t="s">
        <v>92</v>
      </c>
      <c r="C25" s="14"/>
      <c r="E25">
        <v>3.3</v>
      </c>
      <c r="F25">
        <v>24.07</v>
      </c>
      <c r="G25" s="39">
        <f t="shared" si="5"/>
        <v>7.2939393939393948</v>
      </c>
      <c r="H25" s="36">
        <v>7.42</v>
      </c>
      <c r="K25" s="26" t="str">
        <f t="shared" si="14"/>
        <v>-</v>
      </c>
      <c r="L25" s="36">
        <f t="shared" si="15"/>
        <v>3.3</v>
      </c>
      <c r="M25" s="50">
        <f t="shared" si="25"/>
        <v>24.485999999999997</v>
      </c>
      <c r="N25" s="55">
        <f>M25/SUM($M$9:$M$29)</f>
        <v>5.532706244998362E-3</v>
      </c>
      <c r="O25" s="45">
        <f t="shared" si="26"/>
        <v>0.41599999999999682</v>
      </c>
      <c r="P25" s="17">
        <f t="shared" si="27"/>
        <v>1.7282924802658778E-2</v>
      </c>
      <c r="Q25" s="58" t="s">
        <v>79</v>
      </c>
    </row>
    <row r="26" spans="1:18" ht="15.75" customHeight="1" x14ac:dyDescent="0.2">
      <c r="A26" s="13"/>
      <c r="B26" s="14"/>
      <c r="C26" s="14"/>
      <c r="D26" s="14"/>
      <c r="G26" s="39"/>
      <c r="H26" s="36"/>
      <c r="I26" s="36"/>
      <c r="J26" s="36"/>
      <c r="K26" s="26" t="str">
        <f t="shared" si="14"/>
        <v>-</v>
      </c>
      <c r="L26" s="36"/>
      <c r="M26" s="51"/>
      <c r="N26" s="55"/>
      <c r="O26" s="45"/>
      <c r="P26" s="17"/>
      <c r="Q26" s="58"/>
    </row>
    <row r="27" spans="1:18" ht="15.75" customHeight="1" x14ac:dyDescent="0.2">
      <c r="A27" s="13" t="s">
        <v>33</v>
      </c>
      <c r="B27" s="67" t="s">
        <v>43</v>
      </c>
      <c r="C27" s="69">
        <v>45251</v>
      </c>
      <c r="E27" s="36">
        <f>29.9+20+20</f>
        <v>69.900000000000006</v>
      </c>
      <c r="F27">
        <f>29.9+36+30</f>
        <v>95.9</v>
      </c>
      <c r="G27" s="39">
        <f>F27/E27</f>
        <v>1.3719599427753935</v>
      </c>
      <c r="H27" s="36">
        <v>0.52600000000000002</v>
      </c>
      <c r="K27" s="26" t="str">
        <f t="shared" si="14"/>
        <v>-</v>
      </c>
      <c r="L27" s="36">
        <f t="shared" ref="L27:L28" si="28">E27-I27</f>
        <v>69.900000000000006</v>
      </c>
      <c r="M27" s="50">
        <f t="shared" ref="M27:M28" si="29">(E27-I27)*H27</f>
        <v>36.767400000000002</v>
      </c>
      <c r="N27" s="55">
        <f>M27/SUM($M$9:$M$29)</f>
        <v>8.3077359957670835E-3</v>
      </c>
      <c r="O27" s="45">
        <f t="shared" ref="O27:O28" si="30">(J27+M27)-F27</f>
        <v>-59.132600000000004</v>
      </c>
      <c r="P27" s="17">
        <f t="shared" ref="P27:P28" si="31">O27/F27</f>
        <v>-0.61660688216892601</v>
      </c>
      <c r="Q27" s="58" t="s">
        <v>62</v>
      </c>
      <c r="R27" t="s">
        <v>63</v>
      </c>
    </row>
    <row r="28" spans="1:18" ht="15.75" customHeight="1" x14ac:dyDescent="0.2">
      <c r="A28" s="13" t="s">
        <v>33</v>
      </c>
      <c r="B28" s="14" t="s">
        <v>51</v>
      </c>
      <c r="C28" s="14">
        <v>45385</v>
      </c>
      <c r="E28">
        <v>10</v>
      </c>
      <c r="F28">
        <v>30</v>
      </c>
      <c r="G28" s="39">
        <f t="shared" si="5"/>
        <v>3</v>
      </c>
      <c r="H28" s="36">
        <v>0.77100000000000002</v>
      </c>
      <c r="K28" s="26" t="str">
        <f t="shared" si="14"/>
        <v>-</v>
      </c>
      <c r="L28" s="36">
        <f t="shared" si="28"/>
        <v>10</v>
      </c>
      <c r="M28" s="50">
        <f t="shared" si="29"/>
        <v>7.71</v>
      </c>
      <c r="N28" s="55">
        <f>M28/SUM($M$9:$M$29)</f>
        <v>1.7421042697434198E-3</v>
      </c>
      <c r="O28" s="45">
        <f t="shared" si="30"/>
        <v>-22.29</v>
      </c>
      <c r="P28" s="17">
        <f t="shared" si="31"/>
        <v>-0.74299999999999999</v>
      </c>
      <c r="Q28" s="58" t="s">
        <v>62</v>
      </c>
      <c r="R28" t="s">
        <v>63</v>
      </c>
    </row>
    <row r="30" spans="1:18" ht="15.75" customHeight="1" x14ac:dyDescent="0.2">
      <c r="A30" s="14"/>
      <c r="B30" s="14"/>
      <c r="G30" s="36"/>
    </row>
    <row r="31" spans="1:18" ht="15.75" customHeight="1" x14ac:dyDescent="0.2">
      <c r="A31" s="14"/>
      <c r="B31" s="14"/>
      <c r="G31" s="36"/>
    </row>
    <row r="32" spans="1:18" ht="15.75" customHeight="1" x14ac:dyDescent="0.2">
      <c r="A32" s="14"/>
      <c r="B32" s="14"/>
      <c r="G32" s="36"/>
    </row>
    <row r="33" spans="1:16" ht="15.75" customHeight="1" x14ac:dyDescent="0.2">
      <c r="A33" s="14"/>
      <c r="B33" s="14"/>
      <c r="G33" s="36"/>
    </row>
    <row r="34" spans="1:16" ht="15.75" customHeight="1" x14ac:dyDescent="0.2">
      <c r="A34" s="14"/>
      <c r="B34" s="14"/>
      <c r="G34" s="36"/>
    </row>
    <row r="35" spans="1:16" ht="15.75" customHeight="1" x14ac:dyDescent="0.2">
      <c r="A35" s="14"/>
      <c r="B35" s="14"/>
      <c r="G35" s="36"/>
    </row>
    <row r="36" spans="1:16" ht="15.75" customHeight="1" x14ac:dyDescent="0.2">
      <c r="A36" s="14"/>
      <c r="B36" s="14"/>
      <c r="G36" s="36"/>
    </row>
    <row r="37" spans="1:16" ht="15.75" customHeight="1" x14ac:dyDescent="0.2">
      <c r="A37" s="14"/>
      <c r="B37" s="14"/>
      <c r="G37" s="36"/>
    </row>
    <row r="38" spans="1:16" ht="15.75" customHeight="1" x14ac:dyDescent="0.2">
      <c r="A38" s="14"/>
      <c r="B38" s="14"/>
      <c r="F38" s="36"/>
      <c r="G38" s="36"/>
    </row>
    <row r="39" spans="1:16" ht="15.75" customHeight="1" x14ac:dyDescent="0.2">
      <c r="A39" s="14"/>
      <c r="B39" s="53"/>
      <c r="F39" s="36"/>
      <c r="G39" s="36"/>
    </row>
    <row r="40" spans="1:16" ht="15.75" customHeight="1" x14ac:dyDescent="0.2">
      <c r="A40" s="14"/>
    </row>
    <row r="41" spans="1:16" ht="15.75" customHeight="1" x14ac:dyDescent="0.2">
      <c r="A41" s="14"/>
      <c r="G41" s="57"/>
    </row>
    <row r="42" spans="1:16" ht="15.75" customHeight="1" x14ac:dyDescent="0.2">
      <c r="A42" s="14"/>
    </row>
    <row r="43" spans="1:16" ht="15.75" customHeight="1" x14ac:dyDescent="0.2">
      <c r="A43" s="14"/>
    </row>
    <row r="44" spans="1:16" ht="15.75" customHeight="1" x14ac:dyDescent="0.2">
      <c r="A44" s="14"/>
    </row>
    <row r="45" spans="1:16" ht="15.75" customHeight="1" x14ac:dyDescent="0.2">
      <c r="A45" s="14"/>
      <c r="F45" s="37"/>
      <c r="J45" s="37"/>
      <c r="N45" s="37"/>
    </row>
    <row r="46" spans="1:16" ht="15.75" customHeight="1" x14ac:dyDescent="0.2">
      <c r="F46" s="64"/>
      <c r="J46" s="64"/>
      <c r="M46" s="64"/>
      <c r="P46" s="66"/>
    </row>
    <row r="47" spans="1:16" ht="15.75" customHeight="1" x14ac:dyDescent="0.2">
      <c r="F47" s="57"/>
      <c r="J47" s="57"/>
      <c r="M47" s="57"/>
      <c r="P47" s="66"/>
    </row>
    <row r="48" spans="1:16" ht="15.75" customHeight="1" x14ac:dyDescent="0.2">
      <c r="F48" s="57"/>
      <c r="J48" s="57"/>
      <c r="M48" s="57"/>
      <c r="P48" s="66"/>
    </row>
    <row r="49" spans="3:16" ht="15.75" customHeight="1" x14ac:dyDescent="0.2">
      <c r="C49" s="49"/>
      <c r="F49" s="64"/>
      <c r="J49" s="64"/>
      <c r="M49" s="64"/>
      <c r="P49" s="66"/>
    </row>
    <row r="50" spans="3:16" ht="15.75" customHeight="1" x14ac:dyDescent="0.2">
      <c r="C50" s="49"/>
      <c r="F50" s="57"/>
      <c r="J50" s="63"/>
      <c r="M50" s="57"/>
      <c r="P50" s="66"/>
    </row>
    <row r="51" spans="3:16" ht="15.75" customHeight="1" x14ac:dyDescent="0.2">
      <c r="C51" s="49"/>
      <c r="F51" s="57"/>
      <c r="J51" s="63"/>
      <c r="M51" s="57"/>
      <c r="P51" s="66"/>
    </row>
    <row r="52" spans="3:16" ht="15.75" customHeight="1" x14ac:dyDescent="0.2">
      <c r="C52" s="49"/>
      <c r="F52" s="57"/>
      <c r="J52" s="63"/>
      <c r="M52" s="57"/>
      <c r="P52" s="66"/>
    </row>
    <row r="53" spans="3:16" ht="15.75" customHeight="1" x14ac:dyDescent="0.2">
      <c r="C53" s="49"/>
      <c r="F53" s="64"/>
      <c r="J53" s="65"/>
      <c r="M53" s="64"/>
      <c r="P53" s="66"/>
    </row>
    <row r="54" spans="3:16" ht="15.75" customHeight="1" x14ac:dyDescent="0.2">
      <c r="C54" s="49"/>
      <c r="F54" s="57"/>
      <c r="J54" s="63"/>
      <c r="M54" s="57"/>
      <c r="P54" s="66"/>
    </row>
    <row r="55" spans="3:16" ht="15.75" customHeight="1" x14ac:dyDescent="0.2">
      <c r="C55" s="14"/>
      <c r="F55" s="57"/>
      <c r="J55" s="63"/>
      <c r="M55" s="57"/>
      <c r="P55" s="66"/>
    </row>
    <row r="56" spans="3:16" ht="15.75" customHeight="1" x14ac:dyDescent="0.2">
      <c r="C56" s="14"/>
      <c r="D56" s="36"/>
      <c r="F56" s="57"/>
      <c r="J56" s="63"/>
      <c r="M56" s="57"/>
      <c r="P56" s="66"/>
    </row>
    <row r="57" spans="3:16" ht="15.75" customHeight="1" x14ac:dyDescent="0.2">
      <c r="C57" s="14"/>
      <c r="D57" s="36"/>
      <c r="F57" s="57"/>
      <c r="J57" s="63"/>
      <c r="M57" s="57"/>
      <c r="P57" s="66"/>
    </row>
    <row r="58" spans="3:16" ht="15.75" customHeight="1" x14ac:dyDescent="0.2">
      <c r="C58" s="14"/>
      <c r="D58" s="36"/>
      <c r="F58" s="57"/>
      <c r="J58" s="63"/>
      <c r="M58" s="57"/>
      <c r="P58" s="66"/>
    </row>
    <row r="59" spans="3:16" ht="15.75" customHeight="1" x14ac:dyDescent="0.2">
      <c r="J59" s="63"/>
      <c r="M59" s="57"/>
      <c r="P59" s="66"/>
    </row>
    <row r="60" spans="3:16" ht="15.75" customHeight="1" x14ac:dyDescent="0.2">
      <c r="J60" s="63"/>
      <c r="M60" s="63"/>
      <c r="P60" s="66"/>
    </row>
    <row r="61" spans="3:16" ht="15.75" customHeight="1" x14ac:dyDescent="0.2">
      <c r="J61" s="63"/>
      <c r="M61" s="63"/>
      <c r="P61" s="66"/>
    </row>
    <row r="62" spans="3:16" ht="15.75" customHeight="1" x14ac:dyDescent="0.2">
      <c r="J62" s="63"/>
      <c r="M62" s="63"/>
      <c r="P62" s="66"/>
    </row>
    <row r="63" spans="3:16" ht="15.75" customHeight="1" x14ac:dyDescent="0.2">
      <c r="F63" s="57"/>
      <c r="J63" s="63"/>
      <c r="M63" s="63"/>
      <c r="P63" s="66"/>
    </row>
    <row r="64" spans="3:16" ht="15.75" customHeight="1" x14ac:dyDescent="0.2">
      <c r="F64" s="57"/>
      <c r="M64" s="63"/>
      <c r="P64" s="66"/>
    </row>
    <row r="65" spans="13:16" ht="15.75" customHeight="1" x14ac:dyDescent="0.2">
      <c r="M65" s="63"/>
      <c r="P65" s="66"/>
    </row>
    <row r="66" spans="13:16" ht="15.75" customHeight="1" x14ac:dyDescent="0.2">
      <c r="M66" s="63"/>
      <c r="P66" s="66"/>
    </row>
    <row r="67" spans="13:16" ht="15.75" customHeight="1" x14ac:dyDescent="0.2">
      <c r="M67" s="63"/>
      <c r="P67" s="66"/>
    </row>
    <row r="68" spans="13:16" ht="15.75" customHeight="1" x14ac:dyDescent="0.2">
      <c r="M68" s="63"/>
      <c r="P68" s="66"/>
    </row>
    <row r="69" spans="13:16" ht="15.75" customHeight="1" x14ac:dyDescent="0.2">
      <c r="M69" s="63"/>
      <c r="P69" s="66"/>
    </row>
    <row r="70" spans="13:16" ht="15.75" customHeight="1" x14ac:dyDescent="0.2">
      <c r="M70" s="63"/>
      <c r="P70" s="66"/>
    </row>
    <row r="71" spans="13:16" ht="15.75" customHeight="1" x14ac:dyDescent="0.2">
      <c r="M71" s="63"/>
      <c r="P71" s="66"/>
    </row>
    <row r="72" spans="13:16" ht="15.75" customHeight="1" x14ac:dyDescent="0.2">
      <c r="M72" s="63"/>
      <c r="P72" s="66"/>
    </row>
    <row r="73" spans="13:16" ht="15.75" customHeight="1" x14ac:dyDescent="0.2"/>
    <row r="74" spans="13:16" ht="15.75" customHeight="1" x14ac:dyDescent="0.2"/>
    <row r="75" spans="13:16" ht="15.75" customHeight="1" x14ac:dyDescent="0.2"/>
    <row r="76" spans="13:16" ht="15.75" customHeight="1" x14ac:dyDescent="0.2"/>
    <row r="77" spans="13:16" ht="15.75" customHeight="1" x14ac:dyDescent="0.2"/>
    <row r="78" spans="13:16" ht="15.75" customHeight="1" x14ac:dyDescent="0.2"/>
    <row r="79" spans="13:16" ht="15.75" customHeight="1" x14ac:dyDescent="0.2"/>
    <row r="80" spans="13:16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</sheetData>
  <autoFilter ref="A8:D29" xr:uid="{00000000-0009-0000-0000-000001000000}"/>
  <conditionalFormatting sqref="P7 P9:P28">
    <cfRule type="cellIs" dxfId="1" priority="6" operator="greaterThan">
      <formula>0</formula>
    </cfRule>
    <cfRule type="cellIs" dxfId="0" priority="7" operator="lessThan">
      <formula>0</formula>
    </cfRule>
  </conditionalFormatting>
  <dataValidations count="1">
    <dataValidation type="list" allowBlank="1" sqref="A9:A28" xr:uid="{9A28A859-5678-4ED5-A09A-E14E05DEB354}">
      <formula1>"Mở,Đóng"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10" r:id="rId4" name="Button 6">
              <controlPr defaultSize="0" print="0" autoFill="0" autoPict="0" macro="[0]!Module1.UpdatePortfolioPrices">
                <anchor moveWithCells="1" sizeWithCells="1">
                  <from>
                    <xdr:col>5</xdr:col>
                    <xdr:colOff>361950</xdr:colOff>
                    <xdr:row>3</xdr:row>
                    <xdr:rowOff>47625</xdr:rowOff>
                  </from>
                  <to>
                    <xdr:col>7</xdr:col>
                    <xdr:colOff>333375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r:id="rId5" name="Button 7">
              <controlPr defaultSize="0" print="0" autoFill="0" autoPict="0" macro="[0]!UpdateDailyDataCashCoin">
                <anchor moveWithCells="1" sizeWithCells="1">
                  <from>
                    <xdr:col>8</xdr:col>
                    <xdr:colOff>209550</xdr:colOff>
                    <xdr:row>2</xdr:row>
                    <xdr:rowOff>161925</xdr:rowOff>
                  </from>
                  <to>
                    <xdr:col>9</xdr:col>
                    <xdr:colOff>619125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2" r:id="rId6" name="Button 8">
              <controlPr defaultSize="0" print="0" autoFill="0" autoPict="0" macro="[0]!BuildDashboardCompositionChart_AllDates">
                <anchor moveWithCells="1" sizeWithCells="1">
                  <from>
                    <xdr:col>10</xdr:col>
                    <xdr:colOff>247650</xdr:colOff>
                    <xdr:row>3</xdr:row>
                    <xdr:rowOff>85725</xdr:rowOff>
                  </from>
                  <to>
                    <xdr:col>11</xdr:col>
                    <xdr:colOff>409575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E3CB8-B30C-47A7-B4FD-42A48BC1DDFC}">
  <sheetPr codeName="Sheet3">
    <outlinePr summaryBelow="0" summaryRight="0"/>
  </sheetPr>
  <dimension ref="A1:W207"/>
  <sheetViews>
    <sheetView zoomScale="160" zoomScaleNormal="160" workbookViewId="0">
      <pane ySplit="2" topLeftCell="A3" activePane="bottomLeft" state="frozen"/>
      <selection pane="bottomLeft" activeCell="A8" sqref="A8"/>
    </sheetView>
  </sheetViews>
  <sheetFormatPr defaultColWidth="14.42578125" defaultRowHeight="12.75" x14ac:dyDescent="0.2"/>
  <cols>
    <col min="1" max="1" width="13" customWidth="1"/>
    <col min="2" max="2" width="9.140625" customWidth="1"/>
    <col min="3" max="3" width="8" customWidth="1"/>
    <col min="4" max="4" width="9.28515625" customWidth="1"/>
    <col min="5" max="6" width="8.85546875" customWidth="1"/>
    <col min="7" max="7" width="44.140625" style="29" customWidth="1"/>
    <col min="8" max="8" width="36.28515625" customWidth="1"/>
    <col min="12" max="12" width="29" customWidth="1"/>
    <col min="13" max="13" width="33.28515625" customWidth="1"/>
  </cols>
  <sheetData>
    <row r="1" spans="1:23" x14ac:dyDescent="0.2">
      <c r="A1" s="19" t="s">
        <v>68</v>
      </c>
      <c r="B1" s="20"/>
      <c r="C1" s="20"/>
      <c r="D1" s="20"/>
      <c r="E1" s="20"/>
      <c r="F1" s="20"/>
      <c r="G1" s="27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</row>
    <row r="2" spans="1:23" x14ac:dyDescent="0.2">
      <c r="A2" s="21" t="s">
        <v>112</v>
      </c>
      <c r="B2" s="21" t="s">
        <v>117</v>
      </c>
      <c r="C2" s="21" t="s">
        <v>118</v>
      </c>
      <c r="D2" s="22" t="s">
        <v>119</v>
      </c>
      <c r="E2" s="22" t="s">
        <v>127</v>
      </c>
      <c r="F2" s="22" t="s">
        <v>120</v>
      </c>
      <c r="G2" s="28" t="s">
        <v>121</v>
      </c>
      <c r="H2" s="37" t="s">
        <v>140</v>
      </c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</row>
    <row r="3" spans="1:23" x14ac:dyDescent="0.2">
      <c r="A3" s="72">
        <v>45870</v>
      </c>
      <c r="B3" s="25" t="s">
        <v>122</v>
      </c>
      <c r="C3" s="25"/>
      <c r="D3" s="25"/>
      <c r="E3" s="25"/>
      <c r="F3" s="25">
        <v>5000</v>
      </c>
      <c r="G3" s="25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</row>
    <row r="4" spans="1:23" x14ac:dyDescent="0.2">
      <c r="A4" s="72">
        <v>45871</v>
      </c>
      <c r="B4" s="25" t="s">
        <v>124</v>
      </c>
      <c r="C4" s="25"/>
      <c r="D4" s="25"/>
      <c r="E4" s="25"/>
      <c r="F4" s="25">
        <v>1000</v>
      </c>
      <c r="G4" s="25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</row>
    <row r="5" spans="1:23" x14ac:dyDescent="0.2">
      <c r="A5" s="72">
        <v>45872</v>
      </c>
      <c r="B5" s="25" t="s">
        <v>122</v>
      </c>
      <c r="C5" s="25"/>
      <c r="D5" s="25"/>
      <c r="E5" s="25"/>
      <c r="F5" s="25">
        <v>500</v>
      </c>
      <c r="G5" s="25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</row>
    <row r="6" spans="1:23" x14ac:dyDescent="0.2">
      <c r="A6" s="72">
        <v>45874</v>
      </c>
      <c r="B6" s="25" t="s">
        <v>123</v>
      </c>
      <c r="C6" s="25" t="s">
        <v>34</v>
      </c>
      <c r="D6" s="25">
        <v>4000</v>
      </c>
      <c r="E6" s="25">
        <v>0.5</v>
      </c>
      <c r="F6" s="25">
        <f t="shared" ref="F6:F11" si="0">E6*D6</f>
        <v>2000</v>
      </c>
      <c r="G6" s="25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</row>
    <row r="7" spans="1:23" x14ac:dyDescent="0.2">
      <c r="A7" s="72">
        <v>45875</v>
      </c>
      <c r="B7" s="25" t="s">
        <v>123</v>
      </c>
      <c r="C7" s="25" t="s">
        <v>54</v>
      </c>
      <c r="D7" s="25">
        <v>110000</v>
      </c>
      <c r="E7" s="25">
        <v>0.01</v>
      </c>
      <c r="F7" s="25">
        <f t="shared" si="0"/>
        <v>1100</v>
      </c>
      <c r="G7" s="25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</row>
    <row r="8" spans="1:23" x14ac:dyDescent="0.2">
      <c r="A8" s="72">
        <v>45879</v>
      </c>
      <c r="B8" s="25" t="s">
        <v>125</v>
      </c>
      <c r="C8" s="25" t="s">
        <v>34</v>
      </c>
      <c r="D8" s="25">
        <v>6000</v>
      </c>
      <c r="E8" s="25">
        <v>0.5</v>
      </c>
      <c r="F8" s="25">
        <f t="shared" si="0"/>
        <v>3000</v>
      </c>
      <c r="G8" s="25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</row>
    <row r="9" spans="1:23" x14ac:dyDescent="0.2">
      <c r="A9" s="72">
        <v>45875</v>
      </c>
      <c r="B9" s="25" t="s">
        <v>123</v>
      </c>
      <c r="C9" s="25" t="s">
        <v>35</v>
      </c>
      <c r="D9" s="25">
        <v>200</v>
      </c>
      <c r="E9" s="25">
        <v>2</v>
      </c>
      <c r="F9" s="25">
        <f t="shared" si="0"/>
        <v>400</v>
      </c>
      <c r="G9" s="25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</row>
    <row r="10" spans="1:23" x14ac:dyDescent="0.2">
      <c r="A10" s="72">
        <v>45880</v>
      </c>
      <c r="B10" s="25" t="s">
        <v>125</v>
      </c>
      <c r="C10" s="25" t="s">
        <v>35</v>
      </c>
      <c r="D10" s="25">
        <v>170</v>
      </c>
      <c r="E10" s="25">
        <v>1</v>
      </c>
      <c r="F10" s="25">
        <f t="shared" si="0"/>
        <v>170</v>
      </c>
      <c r="G10" s="25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</row>
    <row r="11" spans="1:23" x14ac:dyDescent="0.2">
      <c r="A11" s="72">
        <v>45881</v>
      </c>
      <c r="B11" s="25" t="s">
        <v>125</v>
      </c>
      <c r="C11" s="25" t="s">
        <v>35</v>
      </c>
      <c r="D11" s="25">
        <v>170</v>
      </c>
      <c r="E11" s="25">
        <v>1</v>
      </c>
      <c r="F11" s="25">
        <f t="shared" si="0"/>
        <v>170</v>
      </c>
      <c r="G11" s="25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</row>
    <row r="12" spans="1:23" x14ac:dyDescent="0.2">
      <c r="A12" s="72"/>
      <c r="B12" s="25"/>
      <c r="C12" s="25"/>
      <c r="D12" s="25"/>
      <c r="E12" s="25"/>
      <c r="F12" s="25"/>
      <c r="G12" s="25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</row>
    <row r="13" spans="1:23" x14ac:dyDescent="0.2">
      <c r="A13" s="72">
        <v>45889</v>
      </c>
      <c r="B13" s="25" t="s">
        <v>124</v>
      </c>
      <c r="C13" s="25"/>
      <c r="D13" s="25"/>
      <c r="E13" s="25"/>
      <c r="F13" s="25">
        <v>1000</v>
      </c>
      <c r="G13" s="25"/>
      <c r="H13" s="20" t="s">
        <v>66</v>
      </c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</row>
    <row r="14" spans="1:23" x14ac:dyDescent="0.2">
      <c r="G14" s="20"/>
      <c r="H14" s="20" t="s">
        <v>72</v>
      </c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</row>
    <row r="15" spans="1:23" x14ac:dyDescent="0.2">
      <c r="G15" s="20"/>
      <c r="H15" s="20" t="s">
        <v>150</v>
      </c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</row>
    <row r="16" spans="1:23" x14ac:dyDescent="0.2">
      <c r="G16" s="20"/>
      <c r="H16" s="20" t="s">
        <v>150</v>
      </c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</row>
    <row r="17" spans="1:23" x14ac:dyDescent="0.2">
      <c r="A17" s="73"/>
      <c r="B17" s="20"/>
      <c r="C17" s="20"/>
      <c r="D17" s="20"/>
      <c r="E17" s="20"/>
      <c r="F17" s="20"/>
      <c r="G17" s="27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</row>
    <row r="18" spans="1:23" x14ac:dyDescent="0.2">
      <c r="A18" s="73"/>
      <c r="B18" s="20"/>
      <c r="C18" s="20"/>
      <c r="D18" s="20"/>
      <c r="E18" s="20"/>
      <c r="F18" s="20"/>
      <c r="G18" s="27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</row>
    <row r="19" spans="1:23" x14ac:dyDescent="0.2">
      <c r="A19" s="73"/>
      <c r="B19" s="20"/>
      <c r="C19" s="20"/>
      <c r="D19" s="20"/>
      <c r="E19" s="20"/>
      <c r="F19" s="20"/>
      <c r="G19" s="27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</row>
    <row r="20" spans="1:23" x14ac:dyDescent="0.2">
      <c r="A20" s="73"/>
      <c r="B20" s="20"/>
      <c r="C20" s="20"/>
      <c r="D20" s="20"/>
      <c r="E20" s="20"/>
      <c r="F20" s="20"/>
      <c r="G20" s="27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</row>
    <row r="21" spans="1:23" x14ac:dyDescent="0.2">
      <c r="A21" s="73"/>
      <c r="B21" s="20"/>
      <c r="C21" s="20"/>
      <c r="D21" s="20"/>
      <c r="E21" s="20"/>
      <c r="F21" s="20"/>
      <c r="G21" s="27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</row>
    <row r="22" spans="1:23" x14ac:dyDescent="0.2">
      <c r="A22" s="73"/>
      <c r="B22" s="20"/>
      <c r="C22" s="20"/>
      <c r="D22" s="20"/>
      <c r="E22" s="20"/>
      <c r="F22" s="20"/>
      <c r="G22" s="27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</row>
    <row r="23" spans="1:23" x14ac:dyDescent="0.2">
      <c r="A23" s="73"/>
      <c r="B23" s="20"/>
      <c r="C23" s="20"/>
      <c r="D23" s="20"/>
      <c r="E23" s="20"/>
      <c r="F23" s="20"/>
      <c r="G23" s="27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</row>
    <row r="24" spans="1:23" x14ac:dyDescent="0.2">
      <c r="A24" s="73"/>
      <c r="B24" s="20"/>
      <c r="C24" s="20"/>
      <c r="D24" s="20"/>
      <c r="E24" s="20"/>
      <c r="F24" s="20"/>
      <c r="G24" s="27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</row>
    <row r="25" spans="1:23" x14ac:dyDescent="0.2">
      <c r="A25" s="73"/>
      <c r="B25" s="20"/>
      <c r="C25" s="20"/>
      <c r="D25" s="20"/>
      <c r="E25" s="20"/>
      <c r="F25" s="20"/>
      <c r="G25" s="27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</row>
    <row r="26" spans="1:23" x14ac:dyDescent="0.2">
      <c r="A26" s="73"/>
      <c r="B26" s="20"/>
      <c r="C26" s="20"/>
      <c r="D26" s="20"/>
      <c r="E26" s="20"/>
      <c r="F26" s="20"/>
      <c r="G26" s="27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</row>
    <row r="27" spans="1:23" x14ac:dyDescent="0.2">
      <c r="A27" s="73"/>
      <c r="B27" s="20"/>
      <c r="C27" s="20"/>
      <c r="D27" s="20"/>
      <c r="E27" s="20"/>
      <c r="F27" s="20"/>
      <c r="G27" s="27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</row>
    <row r="28" spans="1:23" x14ac:dyDescent="0.2">
      <c r="A28" s="73"/>
      <c r="B28" s="20"/>
      <c r="C28" s="20"/>
      <c r="D28" s="20"/>
      <c r="E28" s="20"/>
      <c r="F28" s="20"/>
      <c r="G28" s="27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</row>
    <row r="29" spans="1:23" x14ac:dyDescent="0.2">
      <c r="A29" s="73"/>
      <c r="B29" s="20"/>
      <c r="C29" s="20"/>
      <c r="D29" s="20"/>
      <c r="E29" s="20"/>
      <c r="F29" s="20"/>
      <c r="G29" s="27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</row>
    <row r="30" spans="1:23" x14ac:dyDescent="0.2">
      <c r="A30" s="73"/>
      <c r="B30" s="20"/>
      <c r="C30" s="20"/>
      <c r="D30" s="20"/>
      <c r="E30" s="20"/>
      <c r="F30" s="20"/>
      <c r="G30" s="27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</row>
    <row r="31" spans="1:23" x14ac:dyDescent="0.2">
      <c r="A31" s="73"/>
      <c r="B31" s="20"/>
      <c r="C31" s="20"/>
      <c r="D31" s="20"/>
      <c r="E31" s="20"/>
      <c r="F31" s="20"/>
      <c r="G31" s="27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</row>
    <row r="32" spans="1:23" x14ac:dyDescent="0.2">
      <c r="A32" s="73"/>
      <c r="B32" s="20"/>
      <c r="C32" s="20"/>
      <c r="D32" s="20"/>
      <c r="E32" s="20"/>
      <c r="F32" s="20"/>
      <c r="G32" s="27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</row>
    <row r="33" spans="1:23" x14ac:dyDescent="0.2">
      <c r="A33" s="20"/>
      <c r="B33" s="20"/>
      <c r="C33" s="20"/>
      <c r="D33" s="20"/>
      <c r="E33" s="20"/>
      <c r="F33" s="20"/>
      <c r="G33" s="27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</row>
    <row r="34" spans="1:23" x14ac:dyDescent="0.2">
      <c r="A34" s="20"/>
      <c r="B34" s="20"/>
      <c r="C34" s="20"/>
      <c r="D34" s="20"/>
      <c r="E34" s="20"/>
      <c r="F34" s="20"/>
      <c r="G34" s="27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</row>
    <row r="35" spans="1:23" x14ac:dyDescent="0.2">
      <c r="A35" s="20"/>
      <c r="B35" s="20"/>
      <c r="C35" s="20"/>
      <c r="D35" s="20"/>
      <c r="E35" s="20"/>
      <c r="F35" s="20"/>
      <c r="G35" s="27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</row>
    <row r="36" spans="1:23" x14ac:dyDescent="0.2">
      <c r="A36" s="20"/>
      <c r="B36" s="20"/>
      <c r="C36" s="20"/>
      <c r="D36" s="20"/>
      <c r="E36" s="20"/>
      <c r="F36" s="20"/>
      <c r="G36" s="27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</row>
    <row r="37" spans="1:23" x14ac:dyDescent="0.2">
      <c r="A37" s="20"/>
      <c r="B37" s="20"/>
      <c r="C37" s="20"/>
      <c r="D37" s="20"/>
      <c r="E37" s="20"/>
      <c r="F37" s="20"/>
      <c r="G37" s="27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</row>
    <row r="38" spans="1:23" x14ac:dyDescent="0.2">
      <c r="A38" s="20"/>
      <c r="B38" s="20"/>
      <c r="C38" s="20"/>
      <c r="D38" s="20"/>
      <c r="E38" s="20"/>
      <c r="F38" s="20"/>
      <c r="G38" s="27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</row>
    <row r="39" spans="1:23" x14ac:dyDescent="0.2">
      <c r="A39" s="20"/>
      <c r="B39" s="20"/>
      <c r="C39" s="20"/>
      <c r="D39" s="20"/>
      <c r="E39" s="20"/>
      <c r="F39" s="20"/>
      <c r="G39" s="27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</row>
    <row r="40" spans="1:23" x14ac:dyDescent="0.2">
      <c r="A40" s="20"/>
      <c r="B40" s="20"/>
      <c r="C40" s="20"/>
      <c r="D40" s="20"/>
      <c r="E40" s="20"/>
      <c r="F40" s="20"/>
      <c r="G40" s="27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</row>
    <row r="41" spans="1:23" x14ac:dyDescent="0.2">
      <c r="A41" s="20"/>
      <c r="B41" s="20"/>
      <c r="C41" s="20"/>
      <c r="D41" s="20"/>
      <c r="E41" s="20"/>
      <c r="F41" s="20"/>
      <c r="G41" s="27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</row>
    <row r="42" spans="1:23" x14ac:dyDescent="0.2">
      <c r="A42" s="20"/>
      <c r="B42" s="20"/>
      <c r="C42" s="20"/>
      <c r="D42" s="20"/>
      <c r="E42" s="20"/>
      <c r="F42" s="20"/>
      <c r="G42" s="27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</row>
    <row r="43" spans="1:23" x14ac:dyDescent="0.2">
      <c r="A43" s="20"/>
      <c r="B43" s="20"/>
      <c r="C43" s="20"/>
      <c r="D43" s="20"/>
      <c r="E43" s="20"/>
      <c r="F43" s="20"/>
      <c r="G43" s="27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</row>
    <row r="44" spans="1:23" x14ac:dyDescent="0.2">
      <c r="A44" s="20"/>
      <c r="B44" s="20"/>
      <c r="C44" s="20"/>
      <c r="D44" s="20"/>
      <c r="E44" s="20"/>
      <c r="F44" s="20"/>
      <c r="G44" s="27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</row>
    <row r="45" spans="1:23" x14ac:dyDescent="0.2">
      <c r="A45" s="20"/>
      <c r="B45" s="20"/>
      <c r="C45" s="20"/>
      <c r="D45" s="20"/>
      <c r="E45" s="20"/>
      <c r="F45" s="20"/>
      <c r="G45" s="27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</row>
    <row r="46" spans="1:23" x14ac:dyDescent="0.2">
      <c r="A46" s="20"/>
      <c r="B46" s="20"/>
      <c r="C46" s="20"/>
      <c r="D46" s="20"/>
      <c r="E46" s="20"/>
      <c r="F46" s="20"/>
      <c r="G46" s="27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</row>
    <row r="47" spans="1:23" x14ac:dyDescent="0.2">
      <c r="A47" s="20"/>
      <c r="B47" s="20"/>
      <c r="C47" s="20"/>
      <c r="D47" s="20"/>
      <c r="E47" s="20"/>
      <c r="F47" s="20"/>
      <c r="G47" s="27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</row>
    <row r="48" spans="1:23" x14ac:dyDescent="0.2">
      <c r="A48" s="20"/>
      <c r="B48" s="20"/>
      <c r="C48" s="20"/>
      <c r="D48" s="20"/>
      <c r="E48" s="20"/>
      <c r="F48" s="20"/>
      <c r="G48" s="27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</row>
    <row r="49" spans="1:23" x14ac:dyDescent="0.2">
      <c r="A49" s="20"/>
      <c r="B49" s="20"/>
      <c r="C49" s="20"/>
      <c r="D49" s="20"/>
      <c r="E49" s="20"/>
      <c r="F49" s="20"/>
      <c r="G49" s="27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</row>
    <row r="50" spans="1:23" x14ac:dyDescent="0.2">
      <c r="A50" s="20"/>
      <c r="B50" s="20"/>
      <c r="C50" s="20"/>
      <c r="D50" s="20"/>
      <c r="E50" s="20"/>
      <c r="F50" s="20"/>
      <c r="G50" s="27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</row>
    <row r="51" spans="1:23" x14ac:dyDescent="0.2">
      <c r="A51" s="20"/>
      <c r="B51" s="20"/>
      <c r="C51" s="20"/>
      <c r="D51" s="20"/>
      <c r="E51" s="20"/>
      <c r="F51" s="20"/>
      <c r="G51" s="27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</row>
    <row r="52" spans="1:23" x14ac:dyDescent="0.2">
      <c r="A52" s="20"/>
      <c r="B52" s="20"/>
      <c r="C52" s="20"/>
      <c r="D52" s="20"/>
      <c r="E52" s="20"/>
      <c r="F52" s="20"/>
      <c r="G52" s="27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</row>
    <row r="53" spans="1:23" x14ac:dyDescent="0.2">
      <c r="A53" s="20"/>
      <c r="B53" s="20"/>
      <c r="C53" s="20"/>
      <c r="D53" s="20"/>
      <c r="E53" s="20"/>
      <c r="F53" s="20"/>
      <c r="G53" s="27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</row>
    <row r="54" spans="1:23" x14ac:dyDescent="0.2">
      <c r="A54" s="20"/>
      <c r="B54" s="20"/>
      <c r="C54" s="20"/>
      <c r="D54" s="20"/>
      <c r="E54" s="20"/>
      <c r="F54" s="20"/>
      <c r="G54" s="27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</row>
    <row r="55" spans="1:23" x14ac:dyDescent="0.2">
      <c r="A55" s="20"/>
      <c r="B55" s="20"/>
      <c r="C55" s="20"/>
      <c r="D55" s="20"/>
      <c r="E55" s="20"/>
      <c r="F55" s="20"/>
      <c r="G55" s="27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</row>
    <row r="56" spans="1:23" x14ac:dyDescent="0.2">
      <c r="A56" s="20"/>
      <c r="B56" s="20"/>
      <c r="C56" s="20"/>
      <c r="D56" s="20"/>
      <c r="E56" s="20"/>
      <c r="F56" s="20"/>
      <c r="G56" s="27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</row>
    <row r="57" spans="1:23" x14ac:dyDescent="0.2">
      <c r="A57" s="20"/>
      <c r="B57" s="20"/>
      <c r="C57" s="20"/>
      <c r="D57" s="20"/>
      <c r="E57" s="20"/>
      <c r="F57" s="20"/>
      <c r="G57" s="27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</row>
    <row r="58" spans="1:23" x14ac:dyDescent="0.2">
      <c r="A58" s="20"/>
      <c r="B58" s="20"/>
      <c r="C58" s="20"/>
      <c r="D58" s="20"/>
      <c r="E58" s="20"/>
      <c r="F58" s="20"/>
      <c r="G58" s="27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</row>
    <row r="59" spans="1:23" x14ac:dyDescent="0.2">
      <c r="A59" s="20"/>
      <c r="B59" s="20"/>
      <c r="C59" s="20"/>
      <c r="D59" s="20"/>
      <c r="E59" s="20"/>
      <c r="F59" s="20"/>
      <c r="G59" s="27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</row>
    <row r="60" spans="1:23" x14ac:dyDescent="0.2">
      <c r="A60" s="20"/>
      <c r="B60" s="20"/>
      <c r="C60" s="20"/>
      <c r="D60" s="20"/>
      <c r="E60" s="20"/>
      <c r="F60" s="20"/>
      <c r="G60" s="27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</row>
    <row r="61" spans="1:23" x14ac:dyDescent="0.2">
      <c r="A61" s="20"/>
      <c r="B61" s="20"/>
      <c r="C61" s="20"/>
      <c r="D61" s="20"/>
      <c r="E61" s="20"/>
      <c r="F61" s="20"/>
      <c r="G61" s="27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</row>
    <row r="62" spans="1:23" x14ac:dyDescent="0.2">
      <c r="A62" s="20"/>
      <c r="B62" s="20"/>
      <c r="C62" s="20"/>
      <c r="D62" s="20"/>
      <c r="E62" s="20"/>
      <c r="F62" s="20"/>
      <c r="G62" s="27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</row>
    <row r="63" spans="1:23" x14ac:dyDescent="0.2">
      <c r="A63" s="20"/>
      <c r="B63" s="20"/>
      <c r="C63" s="20"/>
      <c r="D63" s="20"/>
      <c r="E63" s="20"/>
      <c r="F63" s="20"/>
      <c r="G63" s="27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</row>
    <row r="64" spans="1:23" x14ac:dyDescent="0.2">
      <c r="A64" s="20"/>
      <c r="B64" s="20"/>
      <c r="C64" s="20"/>
      <c r="D64" s="20"/>
      <c r="E64" s="20"/>
      <c r="F64" s="20"/>
      <c r="G64" s="27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</row>
    <row r="65" spans="1:23" x14ac:dyDescent="0.2">
      <c r="A65" s="20"/>
      <c r="B65" s="20"/>
      <c r="C65" s="20"/>
      <c r="D65" s="20"/>
      <c r="E65" s="20"/>
      <c r="F65" s="20"/>
      <c r="G65" s="27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</row>
    <row r="66" spans="1:23" x14ac:dyDescent="0.2">
      <c r="A66" s="20"/>
      <c r="B66" s="20"/>
      <c r="C66" s="20"/>
      <c r="D66" s="20"/>
      <c r="E66" s="20"/>
      <c r="F66" s="20"/>
      <c r="G66" s="27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</row>
    <row r="67" spans="1:23" x14ac:dyDescent="0.2">
      <c r="A67" s="20"/>
      <c r="B67" s="20"/>
      <c r="C67" s="20"/>
      <c r="D67" s="20"/>
      <c r="E67" s="20"/>
      <c r="F67" s="20"/>
      <c r="G67" s="27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</row>
    <row r="68" spans="1:23" x14ac:dyDescent="0.2">
      <c r="A68" s="20"/>
      <c r="B68" s="20"/>
      <c r="C68" s="20"/>
      <c r="D68" s="20"/>
      <c r="E68" s="20"/>
      <c r="F68" s="20"/>
      <c r="G68" s="27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</row>
    <row r="69" spans="1:23" x14ac:dyDescent="0.2">
      <c r="A69" s="20"/>
      <c r="B69" s="20"/>
      <c r="C69" s="20"/>
      <c r="D69" s="20"/>
      <c r="E69" s="20"/>
      <c r="F69" s="20"/>
      <c r="G69" s="27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</row>
    <row r="70" spans="1:23" x14ac:dyDescent="0.2">
      <c r="A70" s="20"/>
      <c r="B70" s="20"/>
      <c r="C70" s="20"/>
      <c r="D70" s="20"/>
      <c r="E70" s="20"/>
      <c r="F70" s="20"/>
      <c r="G70" s="27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</row>
    <row r="71" spans="1:23" x14ac:dyDescent="0.2">
      <c r="A71" s="20"/>
      <c r="B71" s="20"/>
      <c r="C71" s="20"/>
      <c r="D71" s="20"/>
      <c r="E71" s="20"/>
      <c r="F71" s="20"/>
      <c r="G71" s="27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</row>
    <row r="72" spans="1:23" x14ac:dyDescent="0.2">
      <c r="A72" s="20"/>
      <c r="B72" s="20"/>
      <c r="C72" s="20"/>
      <c r="D72" s="20"/>
      <c r="E72" s="20"/>
      <c r="F72" s="20"/>
      <c r="G72" s="27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</row>
    <row r="73" spans="1:23" x14ac:dyDescent="0.2">
      <c r="A73" s="20"/>
      <c r="B73" s="20"/>
      <c r="C73" s="20"/>
      <c r="D73" s="20"/>
      <c r="E73" s="20"/>
      <c r="F73" s="20"/>
      <c r="G73" s="27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</row>
    <row r="74" spans="1:23" x14ac:dyDescent="0.2">
      <c r="A74" s="20"/>
      <c r="B74" s="20"/>
      <c r="C74" s="20"/>
      <c r="D74" s="20"/>
      <c r="E74" s="20"/>
      <c r="F74" s="20"/>
      <c r="G74" s="27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</row>
    <row r="75" spans="1:23" x14ac:dyDescent="0.2">
      <c r="A75" s="20"/>
      <c r="B75" s="20"/>
      <c r="C75" s="20"/>
      <c r="D75" s="20"/>
      <c r="E75" s="20"/>
      <c r="F75" s="20"/>
      <c r="G75" s="27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</row>
    <row r="76" spans="1:23" x14ac:dyDescent="0.2">
      <c r="A76" s="20"/>
      <c r="B76" s="20"/>
      <c r="C76" s="20"/>
      <c r="D76" s="20"/>
      <c r="E76" s="20"/>
      <c r="F76" s="20"/>
      <c r="G76" s="27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</row>
    <row r="77" spans="1:23" x14ac:dyDescent="0.2">
      <c r="A77" s="20"/>
      <c r="B77" s="20"/>
      <c r="C77" s="20"/>
      <c r="D77" s="20"/>
      <c r="E77" s="20"/>
      <c r="F77" s="20"/>
      <c r="G77" s="27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</row>
    <row r="78" spans="1:23" x14ac:dyDescent="0.2">
      <c r="A78" s="20"/>
      <c r="B78" s="20"/>
      <c r="C78" s="20"/>
      <c r="D78" s="20"/>
      <c r="E78" s="20"/>
      <c r="F78" s="20"/>
      <c r="G78" s="27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</row>
    <row r="79" spans="1:23" x14ac:dyDescent="0.2">
      <c r="A79" s="20"/>
      <c r="B79" s="20"/>
      <c r="C79" s="20"/>
      <c r="D79" s="20"/>
      <c r="E79" s="20"/>
      <c r="F79" s="20"/>
      <c r="G79" s="27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</row>
    <row r="80" spans="1:23" x14ac:dyDescent="0.2">
      <c r="A80" s="20"/>
      <c r="B80" s="20"/>
      <c r="C80" s="20"/>
      <c r="D80" s="20"/>
      <c r="E80" s="20"/>
      <c r="F80" s="20"/>
      <c r="G80" s="27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</row>
    <row r="81" spans="1:23" x14ac:dyDescent="0.2">
      <c r="A81" s="20"/>
      <c r="B81" s="20"/>
      <c r="C81" s="20"/>
      <c r="D81" s="20"/>
      <c r="E81" s="20"/>
      <c r="F81" s="20"/>
      <c r="G81" s="27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</row>
    <row r="82" spans="1:23" x14ac:dyDescent="0.2">
      <c r="A82" s="20"/>
      <c r="B82" s="20"/>
      <c r="C82" s="20"/>
      <c r="D82" s="20"/>
      <c r="E82" s="20"/>
      <c r="F82" s="20"/>
      <c r="G82" s="27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</row>
    <row r="83" spans="1:23" x14ac:dyDescent="0.2">
      <c r="A83" s="20"/>
      <c r="B83" s="20"/>
      <c r="C83" s="20"/>
      <c r="D83" s="20"/>
      <c r="E83" s="20"/>
      <c r="F83" s="20"/>
      <c r="G83" s="27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</row>
    <row r="84" spans="1:23" x14ac:dyDescent="0.2">
      <c r="A84" s="20"/>
      <c r="B84" s="20"/>
      <c r="C84" s="20"/>
      <c r="D84" s="20"/>
      <c r="E84" s="20"/>
      <c r="F84" s="20"/>
      <c r="G84" s="27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</row>
    <row r="85" spans="1:23" x14ac:dyDescent="0.2">
      <c r="A85" s="20"/>
      <c r="B85" s="20"/>
      <c r="C85" s="20"/>
      <c r="D85" s="20"/>
      <c r="E85" s="20"/>
      <c r="F85" s="20"/>
      <c r="G85" s="27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</row>
    <row r="86" spans="1:23" x14ac:dyDescent="0.2">
      <c r="A86" s="20"/>
      <c r="B86" s="20"/>
      <c r="C86" s="20"/>
      <c r="D86" s="20"/>
      <c r="E86" s="20"/>
      <c r="F86" s="20"/>
      <c r="G86" s="27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</row>
    <row r="87" spans="1:23" x14ac:dyDescent="0.2">
      <c r="A87" s="20"/>
      <c r="B87" s="20"/>
      <c r="C87" s="20"/>
      <c r="D87" s="20"/>
      <c r="E87" s="20"/>
      <c r="F87" s="20"/>
      <c r="G87" s="27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</row>
    <row r="88" spans="1:23" x14ac:dyDescent="0.2">
      <c r="A88" s="20"/>
      <c r="B88" s="20"/>
      <c r="C88" s="20"/>
      <c r="D88" s="20"/>
      <c r="E88" s="20"/>
      <c r="F88" s="20"/>
      <c r="G88" s="27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</row>
    <row r="89" spans="1:23" x14ac:dyDescent="0.2">
      <c r="A89" s="20"/>
      <c r="B89" s="20"/>
      <c r="C89" s="20"/>
      <c r="D89" s="20"/>
      <c r="E89" s="20"/>
      <c r="F89" s="20"/>
      <c r="G89" s="27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</row>
    <row r="90" spans="1:23" x14ac:dyDescent="0.2">
      <c r="A90" s="20"/>
      <c r="B90" s="20"/>
      <c r="C90" s="20"/>
      <c r="D90" s="20"/>
      <c r="E90" s="20"/>
      <c r="F90" s="20"/>
      <c r="G90" s="27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</row>
    <row r="91" spans="1:23" x14ac:dyDescent="0.2">
      <c r="A91" s="20"/>
      <c r="B91" s="20"/>
      <c r="C91" s="20"/>
      <c r="D91" s="20"/>
      <c r="E91" s="20"/>
      <c r="F91" s="20"/>
      <c r="G91" s="27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</row>
    <row r="92" spans="1:23" x14ac:dyDescent="0.2">
      <c r="A92" s="20"/>
      <c r="B92" s="20"/>
      <c r="C92" s="20"/>
      <c r="D92" s="20"/>
      <c r="E92" s="20"/>
      <c r="F92" s="20"/>
      <c r="G92" s="27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</row>
    <row r="93" spans="1:23" x14ac:dyDescent="0.2">
      <c r="A93" s="20"/>
      <c r="B93" s="20"/>
      <c r="C93" s="20"/>
      <c r="D93" s="20"/>
      <c r="E93" s="20"/>
      <c r="F93" s="20"/>
      <c r="G93" s="27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</row>
    <row r="94" spans="1:23" x14ac:dyDescent="0.2">
      <c r="A94" s="20"/>
      <c r="B94" s="20"/>
      <c r="C94" s="20"/>
      <c r="D94" s="20"/>
      <c r="E94" s="20"/>
      <c r="F94" s="20"/>
      <c r="G94" s="27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</row>
    <row r="95" spans="1:23" x14ac:dyDescent="0.2">
      <c r="A95" s="20"/>
      <c r="B95" s="20"/>
      <c r="C95" s="20"/>
      <c r="D95" s="20"/>
      <c r="E95" s="20"/>
      <c r="F95" s="20"/>
      <c r="G95" s="27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</row>
    <row r="96" spans="1:23" x14ac:dyDescent="0.2">
      <c r="A96" s="20"/>
      <c r="B96" s="20"/>
      <c r="C96" s="20"/>
      <c r="D96" s="20"/>
      <c r="E96" s="20"/>
      <c r="F96" s="20"/>
      <c r="G96" s="27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</row>
    <row r="97" spans="1:23" x14ac:dyDescent="0.2">
      <c r="A97" s="20"/>
      <c r="B97" s="20"/>
      <c r="C97" s="20"/>
      <c r="D97" s="20"/>
      <c r="E97" s="20"/>
      <c r="F97" s="20"/>
      <c r="G97" s="27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</row>
    <row r="98" spans="1:23" x14ac:dyDescent="0.2">
      <c r="A98" s="20"/>
      <c r="B98" s="20"/>
      <c r="C98" s="20"/>
      <c r="D98" s="20"/>
      <c r="E98" s="20"/>
      <c r="F98" s="20"/>
      <c r="G98" s="27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</row>
    <row r="99" spans="1:23" x14ac:dyDescent="0.2">
      <c r="A99" s="20"/>
      <c r="B99" s="20"/>
      <c r="C99" s="20"/>
      <c r="D99" s="20"/>
      <c r="E99" s="20"/>
      <c r="F99" s="20"/>
      <c r="G99" s="27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</row>
    <row r="100" spans="1:23" x14ac:dyDescent="0.2">
      <c r="A100" s="20"/>
      <c r="B100" s="20"/>
      <c r="C100" s="20"/>
      <c r="D100" s="20"/>
      <c r="E100" s="20"/>
      <c r="F100" s="20"/>
      <c r="G100" s="27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</row>
    <row r="101" spans="1:23" x14ac:dyDescent="0.2">
      <c r="A101" s="20"/>
      <c r="B101" s="20"/>
      <c r="C101" s="20"/>
      <c r="D101" s="20"/>
      <c r="E101" s="20"/>
      <c r="F101" s="20"/>
      <c r="G101" s="27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</row>
    <row r="102" spans="1:23" x14ac:dyDescent="0.2">
      <c r="A102" s="20"/>
      <c r="B102" s="20"/>
      <c r="C102" s="20"/>
      <c r="D102" s="20"/>
      <c r="E102" s="20"/>
      <c r="F102" s="20"/>
      <c r="G102" s="27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</row>
    <row r="103" spans="1:23" x14ac:dyDescent="0.2">
      <c r="A103" s="20"/>
      <c r="B103" s="20"/>
      <c r="C103" s="20"/>
      <c r="D103" s="20"/>
      <c r="E103" s="20"/>
      <c r="F103" s="20"/>
      <c r="G103" s="27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</row>
    <row r="104" spans="1:23" x14ac:dyDescent="0.2">
      <c r="A104" s="20"/>
      <c r="B104" s="20"/>
      <c r="C104" s="20"/>
      <c r="D104" s="20"/>
      <c r="E104" s="20"/>
      <c r="F104" s="20"/>
      <c r="G104" s="27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</row>
    <row r="105" spans="1:23" x14ac:dyDescent="0.2">
      <c r="A105" s="20"/>
      <c r="B105" s="20"/>
      <c r="C105" s="20"/>
      <c r="D105" s="20"/>
      <c r="E105" s="20"/>
      <c r="F105" s="20"/>
      <c r="G105" s="27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</row>
    <row r="106" spans="1:23" x14ac:dyDescent="0.2">
      <c r="A106" s="20"/>
      <c r="B106" s="20"/>
      <c r="C106" s="20"/>
      <c r="D106" s="20"/>
      <c r="E106" s="20"/>
      <c r="F106" s="20"/>
      <c r="G106" s="27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</row>
    <row r="107" spans="1:23" x14ac:dyDescent="0.2">
      <c r="A107" s="20"/>
      <c r="B107" s="20"/>
      <c r="C107" s="20"/>
      <c r="D107" s="20"/>
      <c r="E107" s="20"/>
      <c r="F107" s="20"/>
      <c r="G107" s="27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</row>
    <row r="108" spans="1:23" x14ac:dyDescent="0.2">
      <c r="A108" s="20"/>
      <c r="B108" s="20"/>
      <c r="C108" s="20"/>
      <c r="D108" s="20"/>
      <c r="E108" s="20"/>
      <c r="F108" s="20"/>
      <c r="G108" s="27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</row>
    <row r="109" spans="1:23" x14ac:dyDescent="0.2">
      <c r="A109" s="20"/>
      <c r="B109" s="20"/>
      <c r="C109" s="20"/>
      <c r="D109" s="20"/>
      <c r="E109" s="20"/>
      <c r="F109" s="20"/>
      <c r="G109" s="27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</row>
    <row r="110" spans="1:23" x14ac:dyDescent="0.2">
      <c r="A110" s="20"/>
      <c r="B110" s="20"/>
      <c r="C110" s="20"/>
      <c r="D110" s="20"/>
      <c r="E110" s="20"/>
      <c r="F110" s="20"/>
      <c r="G110" s="27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</row>
    <row r="111" spans="1:23" x14ac:dyDescent="0.2">
      <c r="A111" s="20"/>
      <c r="B111" s="20"/>
      <c r="C111" s="20"/>
      <c r="D111" s="20"/>
      <c r="E111" s="20"/>
      <c r="F111" s="20"/>
      <c r="G111" s="27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</row>
    <row r="112" spans="1:23" x14ac:dyDescent="0.2">
      <c r="A112" s="20"/>
      <c r="B112" s="20"/>
      <c r="C112" s="20"/>
      <c r="D112" s="20"/>
      <c r="E112" s="20"/>
      <c r="F112" s="20"/>
      <c r="G112" s="27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</row>
    <row r="113" spans="1:23" x14ac:dyDescent="0.2">
      <c r="A113" s="20"/>
      <c r="B113" s="20"/>
      <c r="C113" s="20"/>
      <c r="D113" s="20"/>
      <c r="E113" s="20"/>
      <c r="F113" s="20"/>
      <c r="G113" s="27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</row>
    <row r="114" spans="1:23" x14ac:dyDescent="0.2">
      <c r="A114" s="20"/>
      <c r="B114" s="20"/>
      <c r="C114" s="20"/>
      <c r="D114" s="20"/>
      <c r="E114" s="20"/>
      <c r="F114" s="20"/>
      <c r="G114" s="27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</row>
    <row r="115" spans="1:23" x14ac:dyDescent="0.2">
      <c r="A115" s="20"/>
      <c r="B115" s="20"/>
      <c r="C115" s="20"/>
      <c r="D115" s="20"/>
      <c r="E115" s="20"/>
      <c r="F115" s="20"/>
      <c r="G115" s="27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</row>
    <row r="116" spans="1:23" x14ac:dyDescent="0.2">
      <c r="A116" s="20"/>
      <c r="B116" s="20"/>
      <c r="C116" s="20"/>
      <c r="D116" s="20"/>
      <c r="E116" s="20"/>
      <c r="F116" s="20"/>
      <c r="G116" s="27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</row>
    <row r="117" spans="1:23" x14ac:dyDescent="0.2">
      <c r="A117" s="20"/>
      <c r="B117" s="20"/>
      <c r="C117" s="20"/>
      <c r="D117" s="20"/>
      <c r="E117" s="20"/>
      <c r="F117" s="20"/>
      <c r="G117" s="27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</row>
    <row r="118" spans="1:23" x14ac:dyDescent="0.2">
      <c r="A118" s="20"/>
      <c r="B118" s="20"/>
      <c r="C118" s="20"/>
      <c r="D118" s="20"/>
      <c r="E118" s="20"/>
      <c r="F118" s="20"/>
      <c r="G118" s="27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</row>
    <row r="119" spans="1:23" x14ac:dyDescent="0.2">
      <c r="A119" s="20"/>
      <c r="B119" s="20"/>
      <c r="C119" s="20"/>
      <c r="D119" s="20"/>
      <c r="E119" s="20"/>
      <c r="F119" s="20"/>
      <c r="G119" s="27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</row>
    <row r="120" spans="1:23" x14ac:dyDescent="0.2">
      <c r="A120" s="20"/>
      <c r="B120" s="20"/>
      <c r="C120" s="20"/>
      <c r="D120" s="20"/>
      <c r="E120" s="20"/>
      <c r="F120" s="20"/>
      <c r="G120" s="27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</row>
    <row r="121" spans="1:23" x14ac:dyDescent="0.2">
      <c r="A121" s="20"/>
      <c r="B121" s="20"/>
      <c r="C121" s="20"/>
      <c r="D121" s="20"/>
      <c r="E121" s="20"/>
      <c r="F121" s="20"/>
      <c r="G121" s="27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</row>
    <row r="122" spans="1:23" x14ac:dyDescent="0.2">
      <c r="A122" s="20"/>
      <c r="B122" s="20"/>
      <c r="C122" s="20"/>
      <c r="D122" s="20"/>
      <c r="E122" s="20"/>
      <c r="F122" s="20"/>
      <c r="G122" s="27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</row>
    <row r="123" spans="1:23" x14ac:dyDescent="0.2">
      <c r="A123" s="20"/>
      <c r="B123" s="20"/>
      <c r="C123" s="20"/>
      <c r="D123" s="20"/>
      <c r="E123" s="20"/>
      <c r="F123" s="20"/>
      <c r="G123" s="27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</row>
    <row r="124" spans="1:23" x14ac:dyDescent="0.2">
      <c r="A124" s="20"/>
      <c r="B124" s="20"/>
      <c r="C124" s="20"/>
      <c r="D124" s="20"/>
      <c r="E124" s="20"/>
      <c r="F124" s="20"/>
      <c r="G124" s="27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</row>
    <row r="125" spans="1:23" x14ac:dyDescent="0.2">
      <c r="A125" s="20"/>
      <c r="B125" s="20"/>
      <c r="C125" s="20"/>
      <c r="D125" s="20"/>
      <c r="E125" s="20"/>
      <c r="F125" s="20"/>
      <c r="G125" s="27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</row>
    <row r="126" spans="1:23" x14ac:dyDescent="0.2">
      <c r="A126" s="20"/>
      <c r="B126" s="20"/>
      <c r="C126" s="20"/>
      <c r="D126" s="20"/>
      <c r="E126" s="20"/>
      <c r="F126" s="20"/>
      <c r="G126" s="27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</row>
    <row r="127" spans="1:23" x14ac:dyDescent="0.2">
      <c r="A127" s="20"/>
      <c r="B127" s="20"/>
      <c r="C127" s="20"/>
      <c r="D127" s="20"/>
      <c r="E127" s="20"/>
      <c r="F127" s="20"/>
      <c r="G127" s="27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</row>
    <row r="128" spans="1:23" x14ac:dyDescent="0.2">
      <c r="A128" s="20"/>
      <c r="B128" s="20"/>
      <c r="C128" s="20"/>
      <c r="D128" s="20"/>
      <c r="E128" s="20"/>
      <c r="F128" s="20"/>
      <c r="G128" s="27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</row>
    <row r="129" spans="1:23" x14ac:dyDescent="0.2">
      <c r="A129" s="20"/>
      <c r="B129" s="20"/>
      <c r="C129" s="20"/>
      <c r="D129" s="20"/>
      <c r="E129" s="20"/>
      <c r="F129" s="20"/>
      <c r="G129" s="27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</row>
    <row r="130" spans="1:23" x14ac:dyDescent="0.2">
      <c r="A130" s="20"/>
      <c r="B130" s="20"/>
      <c r="C130" s="20"/>
      <c r="D130" s="20"/>
      <c r="E130" s="20"/>
      <c r="F130" s="20"/>
      <c r="G130" s="27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</row>
    <row r="131" spans="1:23" x14ac:dyDescent="0.2">
      <c r="A131" s="20"/>
      <c r="B131" s="20"/>
      <c r="C131" s="20"/>
      <c r="D131" s="20"/>
      <c r="E131" s="20"/>
      <c r="F131" s="20"/>
      <c r="G131" s="27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</row>
    <row r="132" spans="1:23" x14ac:dyDescent="0.2">
      <c r="A132" s="20"/>
      <c r="B132" s="20"/>
      <c r="C132" s="20"/>
      <c r="D132" s="20"/>
      <c r="E132" s="20"/>
      <c r="F132" s="20"/>
      <c r="G132" s="27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</row>
    <row r="133" spans="1:23" x14ac:dyDescent="0.2">
      <c r="A133" s="20"/>
      <c r="B133" s="20"/>
      <c r="C133" s="20"/>
      <c r="D133" s="20"/>
      <c r="E133" s="20"/>
      <c r="F133" s="20"/>
      <c r="G133" s="27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</row>
    <row r="134" spans="1:23" x14ac:dyDescent="0.2">
      <c r="A134" s="20"/>
      <c r="B134" s="20"/>
      <c r="C134" s="20"/>
      <c r="D134" s="20"/>
      <c r="E134" s="20"/>
      <c r="F134" s="20"/>
      <c r="G134" s="27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</row>
    <row r="135" spans="1:23" x14ac:dyDescent="0.2">
      <c r="A135" s="20"/>
      <c r="B135" s="20"/>
      <c r="C135" s="20"/>
      <c r="D135" s="20"/>
      <c r="E135" s="20"/>
      <c r="F135" s="20"/>
      <c r="G135" s="27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</row>
    <row r="136" spans="1:23" x14ac:dyDescent="0.2">
      <c r="A136" s="20"/>
      <c r="B136" s="20"/>
      <c r="C136" s="20"/>
      <c r="D136" s="20"/>
      <c r="E136" s="20"/>
      <c r="F136" s="20"/>
      <c r="G136" s="27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</row>
    <row r="137" spans="1:23" x14ac:dyDescent="0.2">
      <c r="A137" s="20"/>
      <c r="B137" s="20"/>
      <c r="C137" s="20"/>
      <c r="D137" s="20"/>
      <c r="E137" s="20"/>
      <c r="F137" s="20"/>
      <c r="G137" s="27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</row>
    <row r="138" spans="1:23" x14ac:dyDescent="0.2">
      <c r="A138" s="20"/>
      <c r="B138" s="20"/>
      <c r="C138" s="20"/>
      <c r="D138" s="20"/>
      <c r="E138" s="20"/>
      <c r="F138" s="20"/>
      <c r="G138" s="27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</row>
    <row r="139" spans="1:23" x14ac:dyDescent="0.2">
      <c r="A139" s="20"/>
      <c r="B139" s="20"/>
      <c r="C139" s="20"/>
      <c r="D139" s="20"/>
      <c r="E139" s="20"/>
      <c r="F139" s="20"/>
      <c r="G139" s="27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</row>
    <row r="140" spans="1:23" x14ac:dyDescent="0.2">
      <c r="A140" s="20"/>
      <c r="B140" s="20"/>
      <c r="C140" s="20"/>
      <c r="D140" s="20"/>
      <c r="E140" s="20"/>
      <c r="F140" s="20"/>
      <c r="G140" s="27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</row>
    <row r="141" spans="1:23" x14ac:dyDescent="0.2">
      <c r="A141" s="20"/>
      <c r="B141" s="20"/>
      <c r="C141" s="20"/>
      <c r="D141" s="20"/>
      <c r="E141" s="20"/>
      <c r="F141" s="20"/>
      <c r="G141" s="27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</row>
    <row r="142" spans="1:23" x14ac:dyDescent="0.2">
      <c r="A142" s="20"/>
      <c r="B142" s="20"/>
      <c r="C142" s="20"/>
      <c r="D142" s="20"/>
      <c r="E142" s="20"/>
      <c r="F142" s="20"/>
      <c r="G142" s="27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</row>
    <row r="143" spans="1:23" x14ac:dyDescent="0.2">
      <c r="A143" s="20"/>
      <c r="B143" s="20"/>
      <c r="C143" s="20"/>
      <c r="D143" s="20"/>
      <c r="E143" s="20"/>
      <c r="F143" s="20"/>
      <c r="G143" s="27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</row>
    <row r="144" spans="1:23" x14ac:dyDescent="0.2">
      <c r="A144" s="20"/>
      <c r="B144" s="20"/>
      <c r="C144" s="20"/>
      <c r="D144" s="20"/>
      <c r="E144" s="20"/>
      <c r="F144" s="20"/>
      <c r="G144" s="27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</row>
    <row r="145" spans="1:23" x14ac:dyDescent="0.2">
      <c r="A145" s="20"/>
      <c r="B145" s="20"/>
      <c r="C145" s="20"/>
      <c r="D145" s="20"/>
      <c r="E145" s="20"/>
      <c r="F145" s="20"/>
      <c r="G145" s="27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</row>
    <row r="146" spans="1:23" x14ac:dyDescent="0.2">
      <c r="A146" s="20"/>
      <c r="B146" s="20"/>
      <c r="C146" s="20"/>
      <c r="D146" s="20"/>
      <c r="E146" s="20"/>
      <c r="F146" s="20"/>
      <c r="G146" s="27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</row>
    <row r="147" spans="1:23" x14ac:dyDescent="0.2">
      <c r="A147" s="20"/>
      <c r="B147" s="20"/>
      <c r="C147" s="20"/>
      <c r="D147" s="20"/>
      <c r="E147" s="20"/>
      <c r="F147" s="20"/>
      <c r="G147" s="27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</row>
    <row r="148" spans="1:23" x14ac:dyDescent="0.2">
      <c r="A148" s="20"/>
      <c r="B148" s="20"/>
      <c r="C148" s="20"/>
      <c r="D148" s="20"/>
      <c r="E148" s="20"/>
      <c r="F148" s="20"/>
      <c r="G148" s="27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</row>
    <row r="149" spans="1:23" x14ac:dyDescent="0.2">
      <c r="A149" s="20"/>
      <c r="B149" s="20"/>
      <c r="C149" s="20"/>
      <c r="D149" s="20"/>
      <c r="E149" s="20"/>
      <c r="F149" s="20"/>
      <c r="G149" s="27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</row>
    <row r="150" spans="1:23" x14ac:dyDescent="0.2">
      <c r="A150" s="20"/>
      <c r="B150" s="20"/>
      <c r="C150" s="20"/>
      <c r="D150" s="20"/>
      <c r="E150" s="20"/>
      <c r="F150" s="20"/>
      <c r="G150" s="27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</row>
    <row r="151" spans="1:23" x14ac:dyDescent="0.2">
      <c r="A151" s="20"/>
      <c r="B151" s="20"/>
      <c r="C151" s="20"/>
      <c r="D151" s="20"/>
      <c r="E151" s="20"/>
      <c r="F151" s="20"/>
      <c r="G151" s="27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</row>
    <row r="152" spans="1:23" x14ac:dyDescent="0.2">
      <c r="A152" s="20"/>
      <c r="B152" s="20"/>
      <c r="C152" s="20"/>
      <c r="D152" s="20"/>
      <c r="E152" s="20"/>
      <c r="F152" s="20"/>
      <c r="G152" s="27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</row>
    <row r="153" spans="1:23" x14ac:dyDescent="0.2">
      <c r="A153" s="20"/>
      <c r="B153" s="20"/>
      <c r="C153" s="20"/>
      <c r="D153" s="20"/>
      <c r="E153" s="20"/>
      <c r="F153" s="20"/>
      <c r="G153" s="27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</row>
    <row r="154" spans="1:23" x14ac:dyDescent="0.2">
      <c r="A154" s="20"/>
      <c r="B154" s="20"/>
      <c r="C154" s="20"/>
      <c r="D154" s="20"/>
      <c r="E154" s="20"/>
      <c r="F154" s="20"/>
      <c r="G154" s="27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</row>
    <row r="155" spans="1:23" x14ac:dyDescent="0.2">
      <c r="A155" s="20"/>
      <c r="B155" s="20"/>
      <c r="C155" s="20"/>
      <c r="D155" s="20"/>
      <c r="E155" s="20"/>
      <c r="F155" s="20"/>
      <c r="G155" s="27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</row>
    <row r="156" spans="1:23" x14ac:dyDescent="0.2">
      <c r="A156" s="20"/>
      <c r="B156" s="20"/>
      <c r="C156" s="20"/>
      <c r="D156" s="20"/>
      <c r="E156" s="20"/>
      <c r="F156" s="20"/>
      <c r="G156" s="27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</row>
    <row r="157" spans="1:23" x14ac:dyDescent="0.2">
      <c r="A157" s="20"/>
      <c r="B157" s="20"/>
      <c r="C157" s="20"/>
      <c r="D157" s="20"/>
      <c r="E157" s="20"/>
      <c r="F157" s="20"/>
      <c r="G157" s="27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</row>
    <row r="158" spans="1:23" x14ac:dyDescent="0.2">
      <c r="A158" s="20"/>
      <c r="B158" s="20"/>
      <c r="C158" s="20"/>
      <c r="D158" s="20"/>
      <c r="E158" s="20"/>
      <c r="F158" s="20"/>
      <c r="G158" s="27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</row>
    <row r="159" spans="1:23" x14ac:dyDescent="0.2">
      <c r="A159" s="20"/>
      <c r="B159" s="20"/>
      <c r="C159" s="20"/>
      <c r="D159" s="20"/>
      <c r="E159" s="20"/>
      <c r="F159" s="20"/>
      <c r="G159" s="27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</row>
    <row r="160" spans="1:23" x14ac:dyDescent="0.2">
      <c r="A160" s="20"/>
      <c r="B160" s="20"/>
      <c r="C160" s="20"/>
      <c r="D160" s="20"/>
      <c r="E160" s="20"/>
      <c r="F160" s="20"/>
      <c r="G160" s="27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</row>
    <row r="161" spans="1:23" x14ac:dyDescent="0.2">
      <c r="A161" s="20"/>
      <c r="B161" s="20"/>
      <c r="C161" s="20"/>
      <c r="D161" s="20"/>
      <c r="E161" s="20"/>
      <c r="F161" s="20"/>
      <c r="G161" s="27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</row>
    <row r="162" spans="1:23" x14ac:dyDescent="0.2">
      <c r="A162" s="20"/>
      <c r="B162" s="20"/>
      <c r="C162" s="20"/>
      <c r="D162" s="20"/>
      <c r="E162" s="20"/>
      <c r="F162" s="20"/>
      <c r="G162" s="27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</row>
    <row r="163" spans="1:23" x14ac:dyDescent="0.2">
      <c r="A163" s="20"/>
      <c r="B163" s="20"/>
      <c r="C163" s="20"/>
      <c r="D163" s="20"/>
      <c r="E163" s="20"/>
      <c r="F163" s="20"/>
      <c r="G163" s="27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</row>
    <row r="164" spans="1:23" x14ac:dyDescent="0.2">
      <c r="A164" s="20"/>
      <c r="B164" s="20"/>
      <c r="C164" s="20"/>
      <c r="D164" s="20"/>
      <c r="E164" s="20"/>
      <c r="F164" s="20"/>
      <c r="G164" s="27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</row>
    <row r="165" spans="1:23" x14ac:dyDescent="0.2">
      <c r="A165" s="20"/>
      <c r="B165" s="20"/>
      <c r="C165" s="20"/>
      <c r="D165" s="20"/>
      <c r="E165" s="20"/>
      <c r="F165" s="20"/>
      <c r="G165" s="27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</row>
    <row r="166" spans="1:23" x14ac:dyDescent="0.2">
      <c r="A166" s="20"/>
      <c r="B166" s="20"/>
      <c r="C166" s="20"/>
      <c r="D166" s="20"/>
      <c r="E166" s="20"/>
      <c r="F166" s="20"/>
      <c r="G166" s="27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</row>
    <row r="167" spans="1:23" x14ac:dyDescent="0.2">
      <c r="A167" s="20"/>
      <c r="B167" s="20"/>
      <c r="C167" s="20"/>
      <c r="D167" s="20"/>
      <c r="E167" s="20"/>
      <c r="F167" s="20"/>
      <c r="G167" s="27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</row>
    <row r="168" spans="1:23" x14ac:dyDescent="0.2">
      <c r="A168" s="20"/>
      <c r="B168" s="20"/>
      <c r="C168" s="20"/>
      <c r="D168" s="20"/>
      <c r="E168" s="20"/>
      <c r="F168" s="20"/>
      <c r="G168" s="27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</row>
    <row r="169" spans="1:23" x14ac:dyDescent="0.2">
      <c r="A169" s="20"/>
      <c r="B169" s="20"/>
      <c r="C169" s="20"/>
      <c r="D169" s="20"/>
      <c r="E169" s="20"/>
      <c r="F169" s="20"/>
      <c r="G169" s="27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</row>
    <row r="170" spans="1:23" x14ac:dyDescent="0.2">
      <c r="A170" s="20"/>
      <c r="B170" s="20"/>
      <c r="C170" s="20"/>
      <c r="D170" s="20"/>
      <c r="E170" s="20"/>
      <c r="F170" s="20"/>
      <c r="G170" s="27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</row>
    <row r="171" spans="1:23" x14ac:dyDescent="0.2">
      <c r="A171" s="20"/>
      <c r="B171" s="20"/>
      <c r="C171" s="20"/>
      <c r="D171" s="20"/>
      <c r="E171" s="20"/>
      <c r="F171" s="20"/>
      <c r="G171" s="27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</row>
    <row r="172" spans="1:23" x14ac:dyDescent="0.2">
      <c r="A172" s="20"/>
      <c r="B172" s="20"/>
      <c r="C172" s="20"/>
      <c r="D172" s="20"/>
      <c r="E172" s="20"/>
      <c r="F172" s="20"/>
      <c r="G172" s="27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</row>
    <row r="173" spans="1:23" x14ac:dyDescent="0.2">
      <c r="A173" s="20"/>
      <c r="B173" s="20"/>
      <c r="C173" s="20"/>
      <c r="D173" s="20"/>
      <c r="E173" s="20"/>
      <c r="F173" s="20"/>
      <c r="G173" s="27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</row>
    <row r="174" spans="1:23" x14ac:dyDescent="0.2">
      <c r="A174" s="20"/>
      <c r="B174" s="20"/>
      <c r="C174" s="20"/>
      <c r="D174" s="20"/>
      <c r="E174" s="20"/>
      <c r="F174" s="20"/>
      <c r="G174" s="27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</row>
    <row r="175" spans="1:23" x14ac:dyDescent="0.2">
      <c r="A175" s="20"/>
      <c r="B175" s="20"/>
      <c r="C175" s="20"/>
      <c r="D175" s="20"/>
      <c r="E175" s="20"/>
      <c r="F175" s="20"/>
      <c r="G175" s="27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</row>
    <row r="176" spans="1:23" x14ac:dyDescent="0.2">
      <c r="A176" s="20"/>
      <c r="B176" s="20"/>
      <c r="C176" s="20"/>
      <c r="D176" s="20"/>
      <c r="E176" s="20"/>
      <c r="F176" s="20"/>
      <c r="G176" s="27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</row>
    <row r="177" spans="1:23" x14ac:dyDescent="0.2">
      <c r="A177" s="20"/>
      <c r="B177" s="20"/>
      <c r="C177" s="20"/>
      <c r="D177" s="20"/>
      <c r="E177" s="20"/>
      <c r="F177" s="20"/>
      <c r="G177" s="27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</row>
    <row r="178" spans="1:23" x14ac:dyDescent="0.2">
      <c r="A178" s="20"/>
      <c r="B178" s="20"/>
      <c r="C178" s="20"/>
      <c r="D178" s="20"/>
      <c r="E178" s="20"/>
      <c r="F178" s="20"/>
      <c r="G178" s="27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</row>
    <row r="179" spans="1:23" x14ac:dyDescent="0.2">
      <c r="A179" s="20"/>
      <c r="B179" s="20"/>
      <c r="C179" s="20"/>
      <c r="D179" s="20"/>
      <c r="E179" s="20"/>
      <c r="F179" s="20"/>
      <c r="G179" s="27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</row>
    <row r="180" spans="1:23" x14ac:dyDescent="0.2">
      <c r="A180" s="20"/>
      <c r="B180" s="20"/>
      <c r="C180" s="20"/>
      <c r="D180" s="20"/>
      <c r="E180" s="20"/>
      <c r="F180" s="20"/>
      <c r="G180" s="27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</row>
    <row r="181" spans="1:23" x14ac:dyDescent="0.2">
      <c r="A181" s="20"/>
      <c r="B181" s="20"/>
      <c r="C181" s="20"/>
      <c r="D181" s="20"/>
      <c r="E181" s="20"/>
      <c r="F181" s="20"/>
      <c r="G181" s="27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</row>
    <row r="182" spans="1:23" x14ac:dyDescent="0.2">
      <c r="A182" s="20"/>
      <c r="B182" s="20"/>
      <c r="C182" s="20"/>
      <c r="D182" s="20"/>
      <c r="E182" s="20"/>
      <c r="F182" s="20"/>
      <c r="G182" s="27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</row>
    <row r="183" spans="1:23" x14ac:dyDescent="0.2">
      <c r="A183" s="20"/>
      <c r="B183" s="20"/>
      <c r="C183" s="20"/>
      <c r="D183" s="20"/>
      <c r="E183" s="20"/>
      <c r="F183" s="20"/>
      <c r="G183" s="27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</row>
    <row r="184" spans="1:23" x14ac:dyDescent="0.2">
      <c r="A184" s="20"/>
      <c r="B184" s="20"/>
      <c r="C184" s="20"/>
      <c r="D184" s="20"/>
      <c r="E184" s="20"/>
      <c r="F184" s="20"/>
      <c r="G184" s="27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</row>
    <row r="185" spans="1:23" x14ac:dyDescent="0.2">
      <c r="A185" s="20"/>
      <c r="B185" s="20"/>
      <c r="C185" s="20"/>
      <c r="D185" s="20"/>
      <c r="E185" s="20"/>
      <c r="F185" s="20"/>
      <c r="G185" s="27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</row>
    <row r="186" spans="1:23" x14ac:dyDescent="0.2">
      <c r="A186" s="20"/>
      <c r="B186" s="20"/>
      <c r="C186" s="20"/>
      <c r="D186" s="20"/>
      <c r="E186" s="20"/>
      <c r="F186" s="20"/>
      <c r="G186" s="27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</row>
    <row r="187" spans="1:23" x14ac:dyDescent="0.2">
      <c r="A187" s="20"/>
      <c r="B187" s="20"/>
      <c r="C187" s="20"/>
      <c r="D187" s="20"/>
      <c r="E187" s="20"/>
      <c r="F187" s="20"/>
      <c r="G187" s="27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</row>
    <row r="188" spans="1:23" x14ac:dyDescent="0.2">
      <c r="A188" s="20"/>
      <c r="B188" s="20"/>
      <c r="C188" s="20"/>
      <c r="D188" s="20"/>
      <c r="E188" s="20"/>
      <c r="F188" s="20"/>
      <c r="G188" s="27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</row>
    <row r="189" spans="1:23" x14ac:dyDescent="0.2">
      <c r="A189" s="20"/>
      <c r="B189" s="20"/>
      <c r="C189" s="20"/>
      <c r="D189" s="20"/>
      <c r="E189" s="20"/>
      <c r="F189" s="20"/>
      <c r="G189" s="27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</row>
    <row r="190" spans="1:23" x14ac:dyDescent="0.2">
      <c r="A190" s="20"/>
      <c r="B190" s="20"/>
      <c r="C190" s="20"/>
      <c r="D190" s="20"/>
      <c r="E190" s="20"/>
      <c r="F190" s="20"/>
      <c r="G190" s="27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</row>
    <row r="191" spans="1:23" x14ac:dyDescent="0.2">
      <c r="A191" s="20"/>
      <c r="B191" s="20"/>
      <c r="C191" s="20"/>
      <c r="D191" s="20"/>
      <c r="E191" s="20"/>
      <c r="F191" s="20"/>
      <c r="G191" s="27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</row>
    <row r="192" spans="1:23" x14ac:dyDescent="0.2">
      <c r="A192" s="20"/>
      <c r="B192" s="20"/>
      <c r="C192" s="20"/>
      <c r="D192" s="20"/>
      <c r="E192" s="20"/>
      <c r="F192" s="20"/>
      <c r="G192" s="27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</row>
    <row r="193" spans="1:23" x14ac:dyDescent="0.2">
      <c r="A193" s="20"/>
      <c r="B193" s="20"/>
      <c r="C193" s="20"/>
      <c r="D193" s="20"/>
      <c r="E193" s="20"/>
      <c r="F193" s="20"/>
      <c r="G193" s="27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</row>
    <row r="194" spans="1:23" x14ac:dyDescent="0.2">
      <c r="A194" s="20"/>
      <c r="B194" s="20"/>
      <c r="C194" s="20"/>
      <c r="D194" s="20"/>
      <c r="E194" s="20"/>
      <c r="F194" s="20"/>
      <c r="G194" s="27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</row>
    <row r="195" spans="1:23" x14ac:dyDescent="0.2">
      <c r="A195" s="20"/>
      <c r="B195" s="20"/>
      <c r="C195" s="20"/>
      <c r="D195" s="20"/>
      <c r="E195" s="20"/>
      <c r="F195" s="20"/>
      <c r="G195" s="27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</row>
    <row r="196" spans="1:23" x14ac:dyDescent="0.2">
      <c r="A196" s="20"/>
      <c r="B196" s="20"/>
      <c r="C196" s="20"/>
      <c r="D196" s="20"/>
      <c r="E196" s="20"/>
      <c r="F196" s="20"/>
      <c r="G196" s="27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</row>
    <row r="197" spans="1:23" x14ac:dyDescent="0.2">
      <c r="A197" s="20"/>
      <c r="B197" s="20"/>
      <c r="C197" s="20"/>
      <c r="D197" s="20"/>
      <c r="E197" s="20"/>
      <c r="F197" s="20"/>
      <c r="G197" s="27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</row>
    <row r="198" spans="1:23" x14ac:dyDescent="0.2">
      <c r="A198" s="20"/>
      <c r="B198" s="20"/>
      <c r="C198" s="20"/>
      <c r="D198" s="20"/>
      <c r="E198" s="20"/>
      <c r="F198" s="20"/>
      <c r="G198" s="27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</row>
    <row r="199" spans="1:23" x14ac:dyDescent="0.2">
      <c r="A199" s="20"/>
      <c r="B199" s="20"/>
      <c r="C199" s="20"/>
      <c r="D199" s="20"/>
      <c r="E199" s="20"/>
      <c r="F199" s="20"/>
      <c r="G199" s="27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</row>
    <row r="200" spans="1:23" x14ac:dyDescent="0.2">
      <c r="A200" s="20"/>
      <c r="B200" s="20"/>
      <c r="C200" s="20"/>
      <c r="D200" s="20"/>
      <c r="E200" s="20"/>
      <c r="F200" s="20"/>
      <c r="G200" s="27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</row>
    <row r="201" spans="1:23" x14ac:dyDescent="0.2">
      <c r="A201" s="20"/>
      <c r="B201" s="20"/>
      <c r="C201" s="20"/>
      <c r="D201" s="20"/>
      <c r="E201" s="20"/>
      <c r="F201" s="20"/>
      <c r="G201" s="27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</row>
    <row r="202" spans="1:23" x14ac:dyDescent="0.2">
      <c r="A202" s="20"/>
      <c r="B202" s="20"/>
      <c r="C202" s="20"/>
      <c r="D202" s="20"/>
      <c r="E202" s="20"/>
      <c r="F202" s="20"/>
      <c r="G202" s="27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</row>
    <row r="203" spans="1:23" x14ac:dyDescent="0.2">
      <c r="A203" s="20"/>
      <c r="B203" s="20"/>
      <c r="C203" s="20"/>
      <c r="D203" s="20"/>
      <c r="E203" s="20"/>
      <c r="F203" s="20"/>
      <c r="G203" s="27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</row>
    <row r="204" spans="1:23" x14ac:dyDescent="0.2">
      <c r="A204" s="20"/>
      <c r="B204" s="20"/>
      <c r="C204" s="20"/>
      <c r="D204" s="20"/>
      <c r="E204" s="20"/>
      <c r="F204" s="20"/>
      <c r="G204" s="27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</row>
    <row r="205" spans="1:23" x14ac:dyDescent="0.2">
      <c r="A205" s="20"/>
      <c r="B205" s="20"/>
      <c r="C205" s="20"/>
      <c r="D205" s="20"/>
      <c r="E205" s="20"/>
      <c r="F205" s="20"/>
      <c r="G205" s="27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</row>
    <row r="206" spans="1:23" x14ac:dyDescent="0.2">
      <c r="A206" s="20"/>
      <c r="B206" s="20"/>
      <c r="C206" s="20"/>
      <c r="D206" s="20"/>
      <c r="E206" s="20"/>
      <c r="F206" s="20"/>
      <c r="G206" s="27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</row>
    <row r="207" spans="1:23" x14ac:dyDescent="0.2">
      <c r="A207" s="20"/>
      <c r="B207" s="20"/>
      <c r="C207" s="20"/>
      <c r="D207" s="20"/>
      <c r="E207" s="20"/>
      <c r="F207" s="20"/>
      <c r="G207" s="27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</row>
  </sheetData>
  <autoFilter ref="A2:W16" xr:uid="{00000000-0009-0000-0000-000002000000}"/>
  <dataValidations count="1">
    <dataValidation type="list" allowBlank="1" showInputMessage="1" showErrorMessage="1" sqref="B3:B13" xr:uid="{22E75341-75AF-442D-B583-0B70885978E3}">
      <formula1>"Buy,Sell,Deposit,Withdraw"</formula1>
    </dataValidation>
  </dataValidations>
  <pageMargins left="0.7" right="0.7" top="0.75" bottom="0.75" header="0" footer="0"/>
  <pageSetup orientation="landscape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10A04-4147-4650-974E-22C68047B08E}">
  <sheetPr codeName="Sheet9"/>
  <dimension ref="A1:F47"/>
  <sheetViews>
    <sheetView workbookViewId="0">
      <selection activeCell="J9" sqref="J9"/>
    </sheetView>
  </sheetViews>
  <sheetFormatPr defaultRowHeight="12.75" x14ac:dyDescent="0.2"/>
  <sheetData>
    <row r="1" spans="1:6" x14ac:dyDescent="0.2">
      <c r="A1" s="73">
        <v>45889</v>
      </c>
      <c r="B1" s="25" t="s">
        <v>123</v>
      </c>
      <c r="C1" s="20" t="s">
        <v>35</v>
      </c>
      <c r="D1" s="20">
        <v>200</v>
      </c>
      <c r="E1" s="20">
        <v>2</v>
      </c>
      <c r="F1" s="74">
        <f>IF(B1="Buy",(-1)*D1*E1,D1*E1)</f>
        <v>-400</v>
      </c>
    </row>
    <row r="2" spans="1:6" x14ac:dyDescent="0.2">
      <c r="A2" s="73">
        <v>45890</v>
      </c>
      <c r="B2" s="25" t="s">
        <v>125</v>
      </c>
      <c r="C2" s="20" t="s">
        <v>35</v>
      </c>
      <c r="D2" s="20">
        <v>180</v>
      </c>
      <c r="E2" s="20">
        <v>1</v>
      </c>
      <c r="F2" s="74">
        <f>IF(B2="Buy",(-1)*D2*E2,D2*E2)</f>
        <v>180</v>
      </c>
    </row>
    <row r="3" spans="1:6" x14ac:dyDescent="0.2">
      <c r="A3" s="73">
        <v>45899</v>
      </c>
      <c r="B3" s="25" t="s">
        <v>123</v>
      </c>
      <c r="C3" s="20" t="s">
        <v>54</v>
      </c>
      <c r="D3" s="20">
        <v>100000</v>
      </c>
      <c r="E3" s="20">
        <v>1</v>
      </c>
      <c r="F3" s="74">
        <f>IF(B3="Buy",(-1)*D3*E3,D3*E3)</f>
        <v>-100000</v>
      </c>
    </row>
    <row r="4" spans="1:6" x14ac:dyDescent="0.2">
      <c r="A4" s="73">
        <v>45900</v>
      </c>
      <c r="B4" s="25" t="s">
        <v>125</v>
      </c>
      <c r="C4" s="20" t="s">
        <v>54</v>
      </c>
      <c r="D4" s="20">
        <v>120000</v>
      </c>
      <c r="E4" s="20">
        <v>1</v>
      </c>
      <c r="F4" s="20">
        <f>IF(B4="Buy",(-1)*D4*E4,D4*E4)</f>
        <v>120000</v>
      </c>
    </row>
    <row r="9" spans="1:6" x14ac:dyDescent="0.2">
      <c r="A9" s="21" t="s">
        <v>112</v>
      </c>
      <c r="B9" s="21" t="s">
        <v>117</v>
      </c>
      <c r="C9" s="21" t="s">
        <v>118</v>
      </c>
      <c r="D9" s="22" t="s">
        <v>119</v>
      </c>
      <c r="E9" s="22" t="s">
        <v>127</v>
      </c>
      <c r="F9" s="22" t="s">
        <v>120</v>
      </c>
    </row>
    <row r="10" spans="1:6" x14ac:dyDescent="0.2">
      <c r="A10" s="72">
        <v>44873</v>
      </c>
      <c r="B10" s="25" t="s">
        <v>122</v>
      </c>
      <c r="C10" s="25"/>
      <c r="D10" s="25"/>
      <c r="E10" s="25"/>
      <c r="F10" s="25">
        <v>118</v>
      </c>
    </row>
    <row r="11" spans="1:6" x14ac:dyDescent="0.2">
      <c r="A11" s="72">
        <v>44874</v>
      </c>
      <c r="B11" s="25" t="s">
        <v>123</v>
      </c>
      <c r="C11" s="25" t="s">
        <v>34</v>
      </c>
      <c r="D11" s="25">
        <v>1314</v>
      </c>
      <c r="E11" s="25">
        <v>0.02</v>
      </c>
      <c r="F11" s="25">
        <f>IF(B11="Buy",(-1)*D11*E11,D11*E11)</f>
        <v>-26.28</v>
      </c>
    </row>
    <row r="12" spans="1:6" x14ac:dyDescent="0.2">
      <c r="A12" s="72">
        <v>44900</v>
      </c>
      <c r="B12" s="25" t="s">
        <v>124</v>
      </c>
      <c r="C12" s="25"/>
      <c r="D12" s="25"/>
      <c r="E12" s="25"/>
      <c r="F12" s="25">
        <v>45</v>
      </c>
    </row>
    <row r="13" spans="1:6" x14ac:dyDescent="0.2">
      <c r="A13" s="72">
        <v>45099</v>
      </c>
      <c r="B13" s="25" t="s">
        <v>122</v>
      </c>
      <c r="C13" s="25"/>
      <c r="D13" s="25"/>
      <c r="E13" s="25"/>
      <c r="F13" s="25">
        <v>100</v>
      </c>
    </row>
    <row r="14" spans="1:6" x14ac:dyDescent="0.2">
      <c r="A14" s="72">
        <v>45362</v>
      </c>
      <c r="B14" s="25" t="s">
        <v>125</v>
      </c>
      <c r="C14" s="25" t="s">
        <v>34</v>
      </c>
      <c r="D14" s="25">
        <v>4020</v>
      </c>
      <c r="E14" s="25">
        <v>0.01</v>
      </c>
      <c r="F14" s="25">
        <f>IF(B14="Buy",(-1)*D14*E14,D14*E14)</f>
        <v>40.200000000000003</v>
      </c>
    </row>
    <row r="15" spans="1:6" x14ac:dyDescent="0.2">
      <c r="A15" s="72">
        <v>45383</v>
      </c>
      <c r="B15" s="25" t="s">
        <v>122</v>
      </c>
      <c r="C15" s="25"/>
      <c r="D15" s="25"/>
      <c r="E15" s="25"/>
      <c r="F15" s="25">
        <v>200</v>
      </c>
    </row>
    <row r="16" spans="1:6" x14ac:dyDescent="0.2">
      <c r="A16" s="72">
        <v>45395</v>
      </c>
      <c r="B16" s="25" t="s">
        <v>122</v>
      </c>
      <c r="C16" s="25"/>
      <c r="D16" s="25"/>
      <c r="E16" s="25"/>
      <c r="F16" s="25">
        <v>75</v>
      </c>
    </row>
    <row r="17" spans="1:6" x14ac:dyDescent="0.2">
      <c r="A17" s="72">
        <v>45396</v>
      </c>
      <c r="B17" s="25" t="s">
        <v>123</v>
      </c>
      <c r="C17" s="25" t="s">
        <v>54</v>
      </c>
      <c r="D17" s="25">
        <v>64306</v>
      </c>
      <c r="E17" s="25">
        <v>3.1E-4</v>
      </c>
      <c r="F17" s="25">
        <f>IF(B17="Buy",(-1)*D17*E17,D17*E17)</f>
        <v>-19.93486</v>
      </c>
    </row>
    <row r="18" spans="1:6" x14ac:dyDescent="0.2">
      <c r="A18" s="72">
        <v>45399</v>
      </c>
      <c r="B18" s="25" t="s">
        <v>122</v>
      </c>
      <c r="C18" s="25"/>
      <c r="D18" s="25"/>
      <c r="E18" s="25"/>
      <c r="F18" s="25">
        <v>189</v>
      </c>
    </row>
    <row r="19" spans="1:6" x14ac:dyDescent="0.2">
      <c r="A19" s="72">
        <v>45399</v>
      </c>
      <c r="B19" s="25" t="s">
        <v>123</v>
      </c>
      <c r="C19" s="25" t="s">
        <v>54</v>
      </c>
      <c r="D19" s="25">
        <v>60000</v>
      </c>
      <c r="E19" s="25">
        <v>1.57E-3</v>
      </c>
      <c r="F19" s="25">
        <f>IF(B19="Buy",(-1)*D19*E19,D19*E19)</f>
        <v>-94.2</v>
      </c>
    </row>
    <row r="20" spans="1:6" x14ac:dyDescent="0.2">
      <c r="A20" s="72">
        <v>45399</v>
      </c>
      <c r="B20" s="25" t="s">
        <v>123</v>
      </c>
      <c r="C20" s="25" t="s">
        <v>34</v>
      </c>
      <c r="D20" s="25">
        <v>2969</v>
      </c>
      <c r="E20" s="25">
        <v>3.1800000000000002E-2</v>
      </c>
      <c r="F20" s="25">
        <f>IF(B20="Buy",(-1)*D20*E20,D20*E20)</f>
        <v>-94.414200000000008</v>
      </c>
    </row>
    <row r="21" spans="1:6" x14ac:dyDescent="0.2">
      <c r="A21" s="72">
        <v>45457</v>
      </c>
      <c r="B21" s="25" t="s">
        <v>122</v>
      </c>
      <c r="C21" s="25"/>
      <c r="D21" s="25"/>
      <c r="E21" s="25"/>
      <c r="F21" s="25">
        <v>581</v>
      </c>
    </row>
    <row r="22" spans="1:6" x14ac:dyDescent="0.2">
      <c r="A22" s="72">
        <v>45461</v>
      </c>
      <c r="B22" s="25" t="s">
        <v>123</v>
      </c>
      <c r="C22" s="25" t="s">
        <v>54</v>
      </c>
      <c r="D22" s="25">
        <v>65000</v>
      </c>
      <c r="E22" s="25">
        <v>6.1500000000000001E-3</v>
      </c>
      <c r="F22" s="25">
        <f>IF(B22="Buy",(-1)*D22*E22,D22*E22)</f>
        <v>-399.75</v>
      </c>
    </row>
    <row r="23" spans="1:6" x14ac:dyDescent="0.2">
      <c r="A23" s="72">
        <v>45477</v>
      </c>
      <c r="B23" s="25" t="s">
        <v>123</v>
      </c>
      <c r="C23" s="25" t="s">
        <v>34</v>
      </c>
      <c r="D23" s="25">
        <v>3200</v>
      </c>
      <c r="E23" s="25">
        <v>5.62E-2</v>
      </c>
      <c r="F23" s="25">
        <f>IF(B23="Buy",(-1)*D23*E23,D23*E23)</f>
        <v>-179.84</v>
      </c>
    </row>
    <row r="24" spans="1:6" x14ac:dyDescent="0.2">
      <c r="A24" s="72">
        <v>45467</v>
      </c>
      <c r="B24" s="25" t="s">
        <v>122</v>
      </c>
      <c r="C24" s="25"/>
      <c r="D24" s="25"/>
      <c r="E24" s="25"/>
      <c r="F24" s="25">
        <v>577</v>
      </c>
    </row>
    <row r="25" spans="1:6" x14ac:dyDescent="0.2">
      <c r="A25" s="72">
        <v>45468</v>
      </c>
      <c r="B25" s="25" t="s">
        <v>123</v>
      </c>
      <c r="C25" s="25" t="s">
        <v>54</v>
      </c>
      <c r="D25" s="25">
        <v>60000</v>
      </c>
      <c r="E25" s="25">
        <v>6.6699999999999997E-3</v>
      </c>
      <c r="F25" s="25">
        <f>IF(B25="Buy",(-1)*D25*E25,D25*E25)</f>
        <v>-400.2</v>
      </c>
    </row>
    <row r="26" spans="1:6" x14ac:dyDescent="0.2">
      <c r="A26" s="72">
        <v>45477</v>
      </c>
      <c r="B26" s="25" t="s">
        <v>123</v>
      </c>
      <c r="C26" s="25" t="s">
        <v>34</v>
      </c>
      <c r="D26" s="25">
        <v>3200</v>
      </c>
      <c r="E26" s="25">
        <v>5.5E-2</v>
      </c>
      <c r="F26" s="25">
        <f>IF(B26="Buy",(-1)*D26*E26,D26*E26)</f>
        <v>-176</v>
      </c>
    </row>
    <row r="27" spans="1:6" x14ac:dyDescent="0.2">
      <c r="A27" s="72">
        <v>45481</v>
      </c>
      <c r="B27" s="25" t="s">
        <v>122</v>
      </c>
      <c r="C27" s="25"/>
      <c r="D27" s="25"/>
      <c r="E27" s="25"/>
      <c r="F27" s="25">
        <v>384</v>
      </c>
    </row>
    <row r="28" spans="1:6" x14ac:dyDescent="0.2">
      <c r="A28" s="72">
        <v>45509</v>
      </c>
      <c r="B28" s="25" t="s">
        <v>123</v>
      </c>
      <c r="C28" s="25" t="s">
        <v>54</v>
      </c>
      <c r="D28" s="25">
        <v>55000</v>
      </c>
      <c r="E28" s="25">
        <v>3.4499999999999999E-3</v>
      </c>
      <c r="F28" s="25">
        <f>IF(B28="Buy",(-1)*D28*E28,D28*E28)</f>
        <v>-189.75</v>
      </c>
    </row>
    <row r="29" spans="1:6" x14ac:dyDescent="0.2">
      <c r="A29" s="72">
        <v>45506</v>
      </c>
      <c r="B29" s="25" t="s">
        <v>123</v>
      </c>
      <c r="C29" s="25" t="s">
        <v>34</v>
      </c>
      <c r="D29" s="25">
        <v>3000</v>
      </c>
      <c r="E29" s="25">
        <v>6.5100000000000005E-2</v>
      </c>
      <c r="F29" s="25">
        <f>IF(B29="Buy",(-1)*D29*E29,D29*E29)</f>
        <v>-195.3</v>
      </c>
    </row>
    <row r="30" spans="1:6" x14ac:dyDescent="0.2">
      <c r="A30" s="72">
        <v>45541</v>
      </c>
      <c r="B30" s="25" t="s">
        <v>122</v>
      </c>
      <c r="C30" s="25"/>
      <c r="D30" s="25"/>
      <c r="E30" s="25"/>
      <c r="F30" s="25">
        <v>792</v>
      </c>
    </row>
    <row r="31" spans="1:6" x14ac:dyDescent="0.2">
      <c r="A31" s="72">
        <v>45541</v>
      </c>
      <c r="B31" s="25" t="s">
        <v>123</v>
      </c>
      <c r="C31" s="25" t="s">
        <v>54</v>
      </c>
      <c r="D31" s="25">
        <v>54000</v>
      </c>
      <c r="E31" s="25">
        <v>5.5500000000000002E-3</v>
      </c>
      <c r="F31" s="25">
        <f t="shared" ref="F31:F37" si="0">IF(B31="Buy",(-1)*D31*E31,D31*E31)</f>
        <v>-299.7</v>
      </c>
    </row>
    <row r="32" spans="1:6" x14ac:dyDescent="0.2">
      <c r="A32" s="72">
        <v>45542</v>
      </c>
      <c r="B32" s="25" t="s">
        <v>123</v>
      </c>
      <c r="C32" s="25" t="s">
        <v>34</v>
      </c>
      <c r="D32" s="25">
        <v>2200</v>
      </c>
      <c r="E32" s="25">
        <v>0.1363</v>
      </c>
      <c r="F32" s="25">
        <f t="shared" si="0"/>
        <v>-299.86</v>
      </c>
    </row>
    <row r="33" spans="1:6" x14ac:dyDescent="0.2">
      <c r="A33" s="72">
        <v>45595</v>
      </c>
      <c r="B33" s="25" t="s">
        <v>125</v>
      </c>
      <c r="C33" s="60" t="s">
        <v>54</v>
      </c>
      <c r="D33" s="60">
        <v>72347</v>
      </c>
      <c r="E33" s="60">
        <v>6.0000000000000001E-3</v>
      </c>
      <c r="F33" s="25">
        <f t="shared" si="0"/>
        <v>434.08199999999999</v>
      </c>
    </row>
    <row r="34" spans="1:6" x14ac:dyDescent="0.2">
      <c r="A34" s="72">
        <v>45601</v>
      </c>
      <c r="B34" s="25" t="s">
        <v>123</v>
      </c>
      <c r="C34" s="60" t="s">
        <v>34</v>
      </c>
      <c r="D34" s="60">
        <v>2478</v>
      </c>
      <c r="E34" s="60">
        <v>8.4000000000000005E-2</v>
      </c>
      <c r="F34" s="25">
        <f t="shared" si="0"/>
        <v>-208.15200000000002</v>
      </c>
    </row>
    <row r="35" spans="1:6" x14ac:dyDescent="0.2">
      <c r="A35" s="72">
        <v>45622</v>
      </c>
      <c r="B35" s="25" t="s">
        <v>125</v>
      </c>
      <c r="C35" s="20" t="s">
        <v>54</v>
      </c>
      <c r="D35" s="20">
        <v>93000</v>
      </c>
      <c r="E35" s="20">
        <v>3.0000000000000001E-3</v>
      </c>
      <c r="F35" s="25">
        <f t="shared" si="0"/>
        <v>279</v>
      </c>
    </row>
    <row r="36" spans="1:6" x14ac:dyDescent="0.2">
      <c r="A36" s="72">
        <v>45622</v>
      </c>
      <c r="B36" s="25" t="s">
        <v>125</v>
      </c>
      <c r="C36" s="20" t="s">
        <v>54</v>
      </c>
      <c r="D36" s="20">
        <v>94000</v>
      </c>
      <c r="E36" s="20">
        <v>6.0000000000000001E-3</v>
      </c>
      <c r="F36" s="25">
        <f t="shared" si="0"/>
        <v>564</v>
      </c>
    </row>
    <row r="37" spans="1:6" x14ac:dyDescent="0.2">
      <c r="A37" s="73">
        <v>45663</v>
      </c>
      <c r="B37" s="25" t="s">
        <v>125</v>
      </c>
      <c r="C37" s="20" t="s">
        <v>54</v>
      </c>
      <c r="D37" s="20">
        <v>100000</v>
      </c>
      <c r="E37" s="20">
        <v>2.7399999999999998E-3</v>
      </c>
      <c r="F37" s="25">
        <f t="shared" si="0"/>
        <v>274</v>
      </c>
    </row>
    <row r="38" spans="1:6" x14ac:dyDescent="0.2">
      <c r="A38" s="73">
        <v>45670</v>
      </c>
      <c r="B38" s="25" t="s">
        <v>122</v>
      </c>
      <c r="C38" s="20"/>
      <c r="D38" s="20"/>
      <c r="E38" s="20"/>
      <c r="F38" s="25">
        <v>115.38</v>
      </c>
    </row>
    <row r="39" spans="1:6" x14ac:dyDescent="0.2">
      <c r="A39" s="73">
        <v>45676</v>
      </c>
      <c r="B39" s="25" t="s">
        <v>125</v>
      </c>
      <c r="C39" s="20" t="s">
        <v>54</v>
      </c>
      <c r="D39" s="20">
        <v>104215</v>
      </c>
      <c r="E39" s="20">
        <v>7.3999999999999999E-4</v>
      </c>
      <c r="F39" s="25">
        <f>IF(B39="Buy",(-1)*D39*E39,D39*E39)</f>
        <v>77.119100000000003</v>
      </c>
    </row>
    <row r="40" spans="1:6" x14ac:dyDescent="0.2">
      <c r="A40" s="73">
        <v>45678</v>
      </c>
      <c r="B40" s="25" t="s">
        <v>122</v>
      </c>
      <c r="C40" s="20"/>
      <c r="D40" s="20"/>
      <c r="E40" s="20"/>
      <c r="F40" s="25">
        <v>384.6</v>
      </c>
    </row>
    <row r="41" spans="1:6" x14ac:dyDescent="0.2">
      <c r="A41" s="73">
        <v>45716</v>
      </c>
      <c r="B41" s="25" t="s">
        <v>123</v>
      </c>
      <c r="C41" s="20" t="s">
        <v>34</v>
      </c>
      <c r="D41" s="20">
        <v>2100</v>
      </c>
      <c r="E41" s="20">
        <v>7.1400000000000005E-2</v>
      </c>
      <c r="F41" s="25">
        <f>IF(B41="Buy",(-1)*D41*E41,D41*E41)</f>
        <v>-149.94</v>
      </c>
    </row>
    <row r="42" spans="1:6" x14ac:dyDescent="0.2">
      <c r="A42" s="73">
        <v>45670</v>
      </c>
      <c r="B42" s="25" t="s">
        <v>123</v>
      </c>
      <c r="C42" s="20" t="s">
        <v>34</v>
      </c>
      <c r="D42" s="20">
        <v>3043</v>
      </c>
      <c r="E42" s="20">
        <v>4.0399999999999998E-2</v>
      </c>
      <c r="F42" s="25">
        <f>IF(B42="Buy",(-1)*D42*E42,D42*E42)</f>
        <v>-122.93719999999999</v>
      </c>
    </row>
    <row r="43" spans="1:6" x14ac:dyDescent="0.2">
      <c r="A43" s="73">
        <v>45672</v>
      </c>
      <c r="B43" s="25" t="s">
        <v>125</v>
      </c>
      <c r="C43" s="20" t="s">
        <v>54</v>
      </c>
      <c r="D43" s="20">
        <v>99000</v>
      </c>
      <c r="E43" s="20">
        <v>3.21419E-3</v>
      </c>
      <c r="F43" s="25">
        <f>IF(B43="Buy",(-1)*D43*E43,D43*E43)</f>
        <v>318.20481000000001</v>
      </c>
    </row>
    <row r="44" spans="1:6" x14ac:dyDescent="0.2">
      <c r="A44" s="73">
        <v>45676</v>
      </c>
      <c r="B44" s="25" t="s">
        <v>125</v>
      </c>
      <c r="C44" s="20" t="s">
        <v>54</v>
      </c>
      <c r="D44" s="20">
        <v>103753</v>
      </c>
      <c r="E44" s="20">
        <v>1.0399999999999999E-4</v>
      </c>
      <c r="F44" s="25">
        <f>IF(B44="Buy",(-1)*D44*E44,D44*E44)</f>
        <v>10.790312</v>
      </c>
    </row>
    <row r="45" spans="1:6" x14ac:dyDescent="0.2">
      <c r="A45" s="73">
        <v>45750</v>
      </c>
      <c r="B45" s="25" t="s">
        <v>125</v>
      </c>
      <c r="C45" s="20" t="s">
        <v>54</v>
      </c>
      <c r="D45" s="20">
        <v>83000</v>
      </c>
      <c r="E45" s="20">
        <v>2E-3</v>
      </c>
      <c r="F45" s="25">
        <f>IF(B45="Buy",(-1)*D45*E45,D45*E45)</f>
        <v>166</v>
      </c>
    </row>
    <row r="46" spans="1:6" x14ac:dyDescent="0.2">
      <c r="A46" s="73">
        <v>45793</v>
      </c>
      <c r="B46" s="25" t="s">
        <v>122</v>
      </c>
      <c r="C46" s="20"/>
      <c r="D46" s="20"/>
      <c r="E46" s="20"/>
      <c r="F46" s="25">
        <v>1104</v>
      </c>
    </row>
    <row r="47" spans="1:6" x14ac:dyDescent="0.2">
      <c r="A47" s="73">
        <v>45887</v>
      </c>
      <c r="B47" s="25" t="s">
        <v>123</v>
      </c>
      <c r="C47" s="20" t="s">
        <v>34</v>
      </c>
      <c r="D47" s="20">
        <v>4300</v>
      </c>
      <c r="E47" s="20">
        <v>4.6511627906976744E-2</v>
      </c>
      <c r="F47" s="25">
        <f>IF(B47="Buy",(-1)*D47*E47,D47*E47)</f>
        <v>-200</v>
      </c>
    </row>
  </sheetData>
  <dataValidations disablePrompts="1" count="1">
    <dataValidation type="list" allowBlank="1" showInputMessage="1" showErrorMessage="1" sqref="B1:B4 B10:B47" xr:uid="{22E75341-75AF-442D-B583-0B70885978E3}">
      <formula1>"Buy,Sell,Deposit,Withdraw"</formula1>
    </dataValidation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189D3B-71A2-4426-A9B0-A4D7EC417349}">
  <sheetPr codeName="Sheet7"/>
  <dimension ref="A1:U31"/>
  <sheetViews>
    <sheetView zoomScale="160" zoomScaleNormal="160" workbookViewId="0">
      <pane ySplit="1" topLeftCell="A2" activePane="bottomLeft" state="frozen"/>
      <selection pane="bottomLeft" activeCell="R22" sqref="R22"/>
    </sheetView>
  </sheetViews>
  <sheetFormatPr defaultRowHeight="12.75" x14ac:dyDescent="0.2"/>
  <cols>
    <col min="1" max="1" width="10.7109375" style="70" bestFit="1" customWidth="1"/>
    <col min="2" max="4" width="5.7109375" style="23" bestFit="1" customWidth="1"/>
    <col min="5" max="5" width="7.5703125" style="23" bestFit="1" customWidth="1"/>
    <col min="6" max="6" width="7.85546875" style="23" customWidth="1"/>
    <col min="7" max="8" width="5.7109375" style="23" bestFit="1" customWidth="1"/>
    <col min="9" max="9" width="7.85546875" style="23" customWidth="1"/>
    <col min="10" max="10" width="7.42578125" style="23" bestFit="1" customWidth="1"/>
    <col min="11" max="11" width="8.42578125" style="23" bestFit="1" customWidth="1"/>
    <col min="12" max="12" width="30.42578125" style="33" bestFit="1" customWidth="1"/>
    <col min="13" max="13" width="5.5703125" style="75" bestFit="1" customWidth="1"/>
    <col min="14" max="14" width="8.140625" style="71" bestFit="1" customWidth="1"/>
    <col min="15" max="15" width="5.5703125" style="23" bestFit="1" customWidth="1"/>
    <col min="16" max="16" width="4" style="23" bestFit="1" customWidth="1"/>
    <col min="17" max="17" width="6.85546875" style="105" bestFit="1" customWidth="1"/>
    <col min="19" max="21" width="5.5703125" style="23" bestFit="1" customWidth="1"/>
  </cols>
  <sheetData>
    <row r="1" spans="1:21" s="112" customFormat="1" ht="38.25" x14ac:dyDescent="0.2">
      <c r="A1" s="106" t="s">
        <v>112</v>
      </c>
      <c r="B1" s="107" t="s">
        <v>151</v>
      </c>
      <c r="C1" s="107" t="s">
        <v>118</v>
      </c>
      <c r="D1" s="107" t="s">
        <v>0</v>
      </c>
      <c r="E1" s="107" t="s">
        <v>113</v>
      </c>
      <c r="F1" s="107" t="s">
        <v>114</v>
      </c>
      <c r="G1" s="107" t="s">
        <v>115</v>
      </c>
      <c r="H1" s="104" t="s">
        <v>54</v>
      </c>
      <c r="I1" s="104" t="s">
        <v>156</v>
      </c>
      <c r="J1" s="104" t="s">
        <v>155</v>
      </c>
      <c r="K1" s="104" t="s">
        <v>154</v>
      </c>
      <c r="L1" s="119" t="s">
        <v>159</v>
      </c>
      <c r="M1" s="108"/>
      <c r="N1" s="109"/>
      <c r="O1" s="107"/>
      <c r="P1" s="107"/>
      <c r="Q1" s="110"/>
      <c r="R1" s="111"/>
      <c r="S1" s="107"/>
      <c r="T1" s="107"/>
      <c r="U1" s="107"/>
    </row>
    <row r="2" spans="1:21" x14ac:dyDescent="0.2">
      <c r="A2" s="70">
        <v>45870</v>
      </c>
      <c r="B2" s="23">
        <v>5000</v>
      </c>
      <c r="C2" s="23">
        <v>0</v>
      </c>
      <c r="D2" s="23">
        <v>5000</v>
      </c>
      <c r="E2" s="23">
        <v>5000</v>
      </c>
      <c r="F2" s="23">
        <v>0</v>
      </c>
      <c r="G2" s="23">
        <v>0</v>
      </c>
      <c r="H2" s="23">
        <v>0</v>
      </c>
      <c r="I2" s="23">
        <v>0</v>
      </c>
      <c r="J2" s="23">
        <v>0</v>
      </c>
      <c r="K2" s="23">
        <v>0</v>
      </c>
      <c r="L2" s="33" t="s">
        <v>147</v>
      </c>
    </row>
    <row r="3" spans="1:21" x14ac:dyDescent="0.2">
      <c r="A3" s="70">
        <v>45871</v>
      </c>
      <c r="B3" s="23">
        <v>4000</v>
      </c>
      <c r="C3" s="23">
        <v>0</v>
      </c>
      <c r="D3" s="23">
        <v>4000</v>
      </c>
      <c r="E3" s="23">
        <v>5000</v>
      </c>
      <c r="F3" s="23">
        <v>1000</v>
      </c>
      <c r="G3" s="23">
        <v>0</v>
      </c>
      <c r="H3" s="23">
        <v>0</v>
      </c>
      <c r="I3" s="23">
        <v>0</v>
      </c>
      <c r="J3" s="23">
        <v>0</v>
      </c>
      <c r="K3" s="23">
        <v>0</v>
      </c>
      <c r="L3" s="33" t="s">
        <v>147</v>
      </c>
    </row>
    <row r="4" spans="1:21" x14ac:dyDescent="0.2">
      <c r="A4" s="70">
        <v>45872</v>
      </c>
      <c r="B4" s="23">
        <v>4500</v>
      </c>
      <c r="C4" s="23">
        <v>0</v>
      </c>
      <c r="D4" s="23">
        <v>4500</v>
      </c>
      <c r="E4" s="23">
        <v>5500</v>
      </c>
      <c r="F4" s="23">
        <v>1000</v>
      </c>
      <c r="G4" s="23">
        <v>0</v>
      </c>
      <c r="H4" s="23">
        <v>0</v>
      </c>
      <c r="I4" s="23">
        <v>0</v>
      </c>
      <c r="J4" s="23">
        <v>0</v>
      </c>
      <c r="K4" s="23">
        <v>0</v>
      </c>
      <c r="L4" s="33" t="s">
        <v>147</v>
      </c>
    </row>
    <row r="5" spans="1:21" x14ac:dyDescent="0.2">
      <c r="A5" s="70">
        <v>45873</v>
      </c>
      <c r="B5" s="23">
        <v>4500</v>
      </c>
      <c r="C5" s="23">
        <v>0</v>
      </c>
      <c r="D5" s="23">
        <v>4500</v>
      </c>
      <c r="E5" s="23">
        <v>5500</v>
      </c>
      <c r="F5" s="23">
        <v>1000</v>
      </c>
      <c r="G5" s="23">
        <v>0</v>
      </c>
      <c r="H5" s="23">
        <v>0</v>
      </c>
      <c r="I5" s="23">
        <v>0</v>
      </c>
      <c r="J5" s="23">
        <v>0</v>
      </c>
      <c r="K5" s="23">
        <v>0</v>
      </c>
      <c r="L5" s="33" t="s">
        <v>147</v>
      </c>
    </row>
    <row r="6" spans="1:21" x14ac:dyDescent="0.2">
      <c r="A6" s="70">
        <v>45874</v>
      </c>
      <c r="B6" s="23">
        <v>2500</v>
      </c>
      <c r="C6" s="23">
        <v>1806</v>
      </c>
      <c r="D6" s="23">
        <v>4306</v>
      </c>
      <c r="E6" s="23">
        <v>5500</v>
      </c>
      <c r="F6" s="23">
        <v>1000</v>
      </c>
      <c r="G6" s="23">
        <v>-194</v>
      </c>
      <c r="H6" s="23">
        <v>0</v>
      </c>
      <c r="I6" s="23">
        <v>1806</v>
      </c>
      <c r="J6" s="23">
        <v>0</v>
      </c>
      <c r="K6" s="23">
        <v>0</v>
      </c>
      <c r="L6" s="33" t="s">
        <v>160</v>
      </c>
    </row>
    <row r="7" spans="1:21" x14ac:dyDescent="0.2">
      <c r="A7" s="70">
        <v>45875</v>
      </c>
      <c r="B7" s="23">
        <v>1000</v>
      </c>
      <c r="C7" s="23">
        <v>3328</v>
      </c>
      <c r="D7" s="23">
        <v>4328</v>
      </c>
      <c r="E7" s="23">
        <v>5500</v>
      </c>
      <c r="F7" s="23">
        <v>1000</v>
      </c>
      <c r="G7" s="23">
        <v>-172</v>
      </c>
      <c r="H7" s="23">
        <v>1150</v>
      </c>
      <c r="I7" s="23">
        <v>1842</v>
      </c>
      <c r="J7" s="23">
        <v>336</v>
      </c>
      <c r="K7" s="23">
        <v>0</v>
      </c>
      <c r="L7" s="33" t="s">
        <v>161</v>
      </c>
    </row>
    <row r="8" spans="1:21" x14ac:dyDescent="0.2">
      <c r="A8" s="70">
        <v>45876</v>
      </c>
      <c r="B8" s="23">
        <v>1000</v>
      </c>
      <c r="C8" s="23">
        <v>3481</v>
      </c>
      <c r="D8" s="23">
        <v>4481</v>
      </c>
      <c r="E8" s="23">
        <v>5500</v>
      </c>
      <c r="F8" s="23">
        <v>1000</v>
      </c>
      <c r="G8" s="23">
        <v>-19</v>
      </c>
      <c r="H8" s="23">
        <v>1175</v>
      </c>
      <c r="I8" s="23">
        <v>1955</v>
      </c>
      <c r="J8" s="23">
        <v>351</v>
      </c>
      <c r="K8" s="23">
        <v>0</v>
      </c>
      <c r="L8" s="33" t="s">
        <v>162</v>
      </c>
    </row>
    <row r="9" spans="1:21" x14ac:dyDescent="0.2">
      <c r="A9" s="70">
        <v>45877</v>
      </c>
      <c r="B9" s="23">
        <v>1000</v>
      </c>
      <c r="C9" s="23">
        <v>3525</v>
      </c>
      <c r="D9" s="23">
        <v>4525</v>
      </c>
      <c r="E9" s="23">
        <v>5500</v>
      </c>
      <c r="F9" s="23">
        <v>1000</v>
      </c>
      <c r="G9" s="23">
        <v>25</v>
      </c>
      <c r="H9" s="23">
        <v>1167</v>
      </c>
      <c r="I9" s="23">
        <v>2005</v>
      </c>
      <c r="J9" s="23">
        <v>354</v>
      </c>
      <c r="K9" s="23">
        <v>0</v>
      </c>
      <c r="L9" s="33" t="s">
        <v>163</v>
      </c>
    </row>
    <row r="10" spans="1:21" x14ac:dyDescent="0.2">
      <c r="A10" s="70">
        <v>45878</v>
      </c>
      <c r="B10" s="23">
        <v>1000</v>
      </c>
      <c r="C10" s="23">
        <v>3655</v>
      </c>
      <c r="D10" s="23">
        <v>4655</v>
      </c>
      <c r="E10" s="23">
        <v>5500</v>
      </c>
      <c r="F10" s="23">
        <v>1000</v>
      </c>
      <c r="G10" s="23">
        <v>155</v>
      </c>
      <c r="H10" s="23">
        <v>1165</v>
      </c>
      <c r="I10" s="23">
        <v>2130</v>
      </c>
      <c r="J10" s="23">
        <v>360</v>
      </c>
      <c r="K10" s="23">
        <v>0</v>
      </c>
      <c r="L10" s="33" t="s">
        <v>164</v>
      </c>
    </row>
    <row r="11" spans="1:21" x14ac:dyDescent="0.2">
      <c r="A11" s="70">
        <v>45879</v>
      </c>
      <c r="B11" s="23">
        <v>4000</v>
      </c>
      <c r="C11" s="23">
        <v>1558</v>
      </c>
      <c r="D11" s="23">
        <v>5558</v>
      </c>
      <c r="E11" s="23">
        <v>5500</v>
      </c>
      <c r="F11" s="23">
        <v>1000</v>
      </c>
      <c r="G11" s="23">
        <v>1058</v>
      </c>
      <c r="H11" s="23">
        <v>1193</v>
      </c>
      <c r="I11" s="23">
        <v>0</v>
      </c>
      <c r="J11" s="23">
        <v>0</v>
      </c>
      <c r="K11" s="23">
        <v>365</v>
      </c>
      <c r="L11" s="33" t="s">
        <v>186</v>
      </c>
    </row>
    <row r="12" spans="1:21" x14ac:dyDescent="0.2">
      <c r="A12" s="70">
        <v>45880</v>
      </c>
      <c r="B12" s="23">
        <v>4170</v>
      </c>
      <c r="C12" s="23">
        <v>1362</v>
      </c>
      <c r="D12" s="23">
        <v>5532</v>
      </c>
      <c r="E12" s="23">
        <v>5500</v>
      </c>
      <c r="F12" s="23">
        <v>1000</v>
      </c>
      <c r="G12" s="23">
        <v>1032</v>
      </c>
      <c r="H12" s="23">
        <v>1187</v>
      </c>
      <c r="I12" s="23">
        <v>0</v>
      </c>
      <c r="J12" s="23">
        <v>0</v>
      </c>
      <c r="K12" s="23">
        <v>175</v>
      </c>
      <c r="L12" s="33" t="s">
        <v>165</v>
      </c>
    </row>
    <row r="13" spans="1:21" x14ac:dyDescent="0.2">
      <c r="A13" s="70">
        <v>45881</v>
      </c>
      <c r="B13" s="23">
        <v>4340</v>
      </c>
      <c r="C13" s="23">
        <v>1201</v>
      </c>
      <c r="D13" s="23">
        <v>5541</v>
      </c>
      <c r="E13" s="23">
        <v>5500</v>
      </c>
      <c r="F13" s="23">
        <v>1000</v>
      </c>
      <c r="G13" s="23">
        <v>1041</v>
      </c>
      <c r="H13" s="23">
        <v>1201</v>
      </c>
      <c r="I13" s="23">
        <v>0</v>
      </c>
      <c r="J13" s="23">
        <v>0</v>
      </c>
      <c r="K13" s="23">
        <v>0</v>
      </c>
      <c r="L13" s="33" t="s">
        <v>166</v>
      </c>
    </row>
    <row r="14" spans="1:21" x14ac:dyDescent="0.2">
      <c r="A14" s="70">
        <v>45882</v>
      </c>
      <c r="B14" s="23">
        <v>4340</v>
      </c>
      <c r="C14" s="23">
        <v>1233</v>
      </c>
      <c r="D14" s="23">
        <v>5573</v>
      </c>
      <c r="E14" s="23">
        <v>5500</v>
      </c>
      <c r="F14" s="23">
        <v>1000</v>
      </c>
      <c r="G14" s="23">
        <v>1073</v>
      </c>
      <c r="H14" s="23">
        <v>1233</v>
      </c>
      <c r="I14" s="23">
        <v>0</v>
      </c>
      <c r="J14" s="23">
        <v>0</v>
      </c>
      <c r="K14" s="23">
        <v>0</v>
      </c>
      <c r="L14" s="33" t="s">
        <v>167</v>
      </c>
    </row>
    <row r="15" spans="1:21" x14ac:dyDescent="0.2">
      <c r="A15" s="70">
        <v>45883</v>
      </c>
      <c r="B15" s="23">
        <v>4340</v>
      </c>
      <c r="C15" s="23">
        <v>1183</v>
      </c>
      <c r="D15" s="23">
        <v>5523</v>
      </c>
      <c r="E15" s="23">
        <v>5500</v>
      </c>
      <c r="F15" s="23">
        <v>1000</v>
      </c>
      <c r="G15" s="23">
        <v>1023</v>
      </c>
      <c r="H15" s="23">
        <v>1183</v>
      </c>
      <c r="I15" s="23">
        <v>0</v>
      </c>
      <c r="J15" s="23">
        <v>0</v>
      </c>
      <c r="K15" s="23">
        <v>0</v>
      </c>
      <c r="L15" s="33" t="s">
        <v>168</v>
      </c>
    </row>
    <row r="16" spans="1:21" x14ac:dyDescent="0.2">
      <c r="A16" s="70">
        <v>45884</v>
      </c>
      <c r="B16" s="23">
        <v>4340</v>
      </c>
      <c r="C16" s="23">
        <v>1173</v>
      </c>
      <c r="D16" s="23">
        <v>5513</v>
      </c>
      <c r="E16" s="23">
        <v>5500</v>
      </c>
      <c r="F16" s="23">
        <v>1000</v>
      </c>
      <c r="G16" s="23">
        <v>1013</v>
      </c>
      <c r="H16" s="23">
        <v>1173</v>
      </c>
      <c r="I16" s="23">
        <v>0</v>
      </c>
      <c r="J16" s="23">
        <v>0</v>
      </c>
      <c r="K16" s="23">
        <v>0</v>
      </c>
      <c r="L16" s="33" t="s">
        <v>169</v>
      </c>
    </row>
    <row r="17" spans="1:12" x14ac:dyDescent="0.2">
      <c r="A17" s="70">
        <v>45885</v>
      </c>
      <c r="B17" s="23">
        <v>4340</v>
      </c>
      <c r="C17" s="23">
        <v>1174</v>
      </c>
      <c r="D17" s="23">
        <v>5514</v>
      </c>
      <c r="E17" s="23">
        <v>5500</v>
      </c>
      <c r="F17" s="23">
        <v>1000</v>
      </c>
      <c r="G17" s="23">
        <v>1014</v>
      </c>
      <c r="H17" s="23">
        <v>1174</v>
      </c>
      <c r="I17" s="23">
        <v>0</v>
      </c>
      <c r="J17" s="23">
        <v>0</v>
      </c>
      <c r="K17" s="23">
        <v>0</v>
      </c>
      <c r="L17" s="33" t="s">
        <v>170</v>
      </c>
    </row>
    <row r="18" spans="1:12" x14ac:dyDescent="0.2">
      <c r="A18" s="70">
        <v>45886</v>
      </c>
      <c r="B18" s="23">
        <v>4340</v>
      </c>
      <c r="C18" s="23">
        <v>1174</v>
      </c>
      <c r="D18" s="23">
        <v>5514</v>
      </c>
      <c r="E18" s="23">
        <v>5500</v>
      </c>
      <c r="F18" s="23">
        <v>1000</v>
      </c>
      <c r="G18" s="23">
        <v>1014</v>
      </c>
      <c r="H18" s="23">
        <v>1174</v>
      </c>
      <c r="I18" s="23">
        <v>0</v>
      </c>
      <c r="J18" s="23">
        <v>0</v>
      </c>
      <c r="K18" s="23">
        <v>0</v>
      </c>
      <c r="L18" s="33" t="s">
        <v>170</v>
      </c>
    </row>
    <row r="19" spans="1:12" x14ac:dyDescent="0.2">
      <c r="A19" s="70">
        <v>45887</v>
      </c>
      <c r="B19" s="23">
        <v>4340</v>
      </c>
      <c r="C19" s="23">
        <v>1162</v>
      </c>
      <c r="D19" s="23">
        <v>5502</v>
      </c>
      <c r="E19" s="23">
        <v>5500</v>
      </c>
      <c r="F19" s="23">
        <v>1000</v>
      </c>
      <c r="G19" s="23">
        <v>1002</v>
      </c>
      <c r="H19" s="23">
        <v>1162</v>
      </c>
      <c r="I19" s="23">
        <v>0</v>
      </c>
      <c r="J19" s="23">
        <v>0</v>
      </c>
      <c r="K19" s="23">
        <v>0</v>
      </c>
      <c r="L19" s="33" t="s">
        <v>171</v>
      </c>
    </row>
    <row r="20" spans="1:12" x14ac:dyDescent="0.2">
      <c r="A20" s="70">
        <v>45888</v>
      </c>
      <c r="B20" s="23">
        <v>4340</v>
      </c>
      <c r="C20" s="23">
        <v>1129</v>
      </c>
      <c r="D20" s="23">
        <v>5469</v>
      </c>
      <c r="E20" s="23">
        <v>5500</v>
      </c>
      <c r="F20" s="23">
        <v>1000</v>
      </c>
      <c r="G20" s="23">
        <v>969</v>
      </c>
      <c r="H20" s="23">
        <v>1129</v>
      </c>
      <c r="I20" s="23">
        <v>0</v>
      </c>
      <c r="J20" s="23">
        <v>0</v>
      </c>
      <c r="K20" s="23">
        <v>0</v>
      </c>
      <c r="L20" s="33" t="s">
        <v>172</v>
      </c>
    </row>
    <row r="21" spans="1:12" x14ac:dyDescent="0.2">
      <c r="A21" s="70">
        <v>45889</v>
      </c>
      <c r="B21" s="23">
        <v>3340</v>
      </c>
      <c r="C21" s="23">
        <v>1143</v>
      </c>
      <c r="D21" s="23">
        <v>4483</v>
      </c>
      <c r="E21" s="23">
        <v>5500</v>
      </c>
      <c r="F21" s="23">
        <v>2000</v>
      </c>
      <c r="G21" s="23">
        <v>983</v>
      </c>
      <c r="H21" s="23">
        <v>1143</v>
      </c>
      <c r="I21" s="23">
        <v>0</v>
      </c>
      <c r="J21" s="23">
        <v>0</v>
      </c>
      <c r="K21" s="23">
        <v>0</v>
      </c>
      <c r="L21" s="33" t="s">
        <v>173</v>
      </c>
    </row>
    <row r="22" spans="1:12" x14ac:dyDescent="0.2">
      <c r="A22" s="70">
        <v>45890</v>
      </c>
      <c r="B22" s="23">
        <v>3340</v>
      </c>
      <c r="C22" s="23">
        <v>1125</v>
      </c>
      <c r="D22" s="23">
        <v>4465</v>
      </c>
      <c r="E22" s="23">
        <v>5500</v>
      </c>
      <c r="F22" s="23">
        <v>2000</v>
      </c>
      <c r="G22" s="23">
        <v>965</v>
      </c>
      <c r="H22" s="23">
        <v>1125</v>
      </c>
      <c r="I22" s="23">
        <v>0</v>
      </c>
      <c r="J22" s="23">
        <v>0</v>
      </c>
      <c r="K22" s="23">
        <v>0</v>
      </c>
      <c r="L22" s="33" t="s">
        <v>176</v>
      </c>
    </row>
    <row r="23" spans="1:12" x14ac:dyDescent="0.2">
      <c r="A23" s="70">
        <v>45891</v>
      </c>
      <c r="B23" s="23">
        <v>3340</v>
      </c>
      <c r="C23" s="23">
        <v>1169</v>
      </c>
      <c r="D23" s="23">
        <v>4509</v>
      </c>
      <c r="E23" s="23">
        <v>5500</v>
      </c>
      <c r="F23" s="23">
        <v>2000</v>
      </c>
      <c r="G23" s="23">
        <v>1009</v>
      </c>
      <c r="H23" s="23">
        <v>1169</v>
      </c>
      <c r="I23" s="23">
        <v>0</v>
      </c>
      <c r="J23" s="23">
        <v>0</v>
      </c>
      <c r="K23" s="23">
        <v>0</v>
      </c>
      <c r="L23" s="33" t="s">
        <v>177</v>
      </c>
    </row>
    <row r="24" spans="1:12" x14ac:dyDescent="0.2">
      <c r="A24" s="70">
        <v>45892</v>
      </c>
      <c r="B24" s="23">
        <v>3340</v>
      </c>
      <c r="C24" s="23">
        <v>1154</v>
      </c>
      <c r="D24" s="23">
        <v>4494</v>
      </c>
      <c r="E24" s="23">
        <v>5500</v>
      </c>
      <c r="F24" s="23">
        <v>2000</v>
      </c>
      <c r="G24" s="23">
        <v>994</v>
      </c>
      <c r="H24" s="23">
        <v>1154</v>
      </c>
      <c r="I24" s="23">
        <v>0</v>
      </c>
      <c r="J24" s="23">
        <v>0</v>
      </c>
      <c r="K24" s="23">
        <v>0</v>
      </c>
      <c r="L24" s="33" t="s">
        <v>178</v>
      </c>
    </row>
    <row r="25" spans="1:12" x14ac:dyDescent="0.2">
      <c r="A25" s="70">
        <v>45893</v>
      </c>
      <c r="B25" s="23">
        <v>3340</v>
      </c>
      <c r="C25" s="23">
        <v>1135</v>
      </c>
      <c r="D25" s="23">
        <v>4475</v>
      </c>
      <c r="E25" s="23">
        <v>5500</v>
      </c>
      <c r="F25" s="23">
        <v>2000</v>
      </c>
      <c r="G25" s="23">
        <v>975</v>
      </c>
      <c r="H25" s="23">
        <v>1135</v>
      </c>
      <c r="I25" s="23">
        <v>0</v>
      </c>
      <c r="J25" s="23">
        <v>0</v>
      </c>
      <c r="K25" s="23">
        <v>0</v>
      </c>
      <c r="L25" s="33" t="s">
        <v>179</v>
      </c>
    </row>
    <row r="26" spans="1:12" x14ac:dyDescent="0.2">
      <c r="A26" s="70">
        <v>45894</v>
      </c>
      <c r="B26" s="23">
        <v>3340</v>
      </c>
      <c r="C26" s="23">
        <v>1101</v>
      </c>
      <c r="D26" s="23">
        <v>4441</v>
      </c>
      <c r="E26" s="23">
        <v>5500</v>
      </c>
      <c r="F26" s="23">
        <v>2000</v>
      </c>
      <c r="G26" s="23">
        <v>941</v>
      </c>
      <c r="H26" s="23">
        <v>1101</v>
      </c>
      <c r="I26" s="23">
        <v>0</v>
      </c>
      <c r="J26" s="23">
        <v>0</v>
      </c>
      <c r="K26" s="23">
        <v>0</v>
      </c>
      <c r="L26" s="33" t="s">
        <v>180</v>
      </c>
    </row>
    <row r="27" spans="1:12" x14ac:dyDescent="0.2">
      <c r="A27" s="70">
        <v>45895</v>
      </c>
      <c r="B27" s="23">
        <v>3340</v>
      </c>
      <c r="C27" s="23">
        <v>1118</v>
      </c>
      <c r="D27" s="23">
        <v>4458</v>
      </c>
      <c r="E27" s="23">
        <v>5500</v>
      </c>
      <c r="F27" s="23">
        <v>2000</v>
      </c>
      <c r="G27" s="23">
        <v>958</v>
      </c>
      <c r="H27" s="23">
        <v>1118</v>
      </c>
      <c r="I27" s="23">
        <v>0</v>
      </c>
      <c r="J27" s="23">
        <v>0</v>
      </c>
      <c r="K27" s="23">
        <v>0</v>
      </c>
      <c r="L27" s="33" t="s">
        <v>181</v>
      </c>
    </row>
    <row r="28" spans="1:12" x14ac:dyDescent="0.2">
      <c r="A28" s="70">
        <v>45896</v>
      </c>
      <c r="B28" s="23">
        <v>3340</v>
      </c>
      <c r="C28" s="23">
        <v>1113</v>
      </c>
      <c r="D28" s="23">
        <v>4453</v>
      </c>
      <c r="E28" s="23">
        <v>5500</v>
      </c>
      <c r="F28" s="23">
        <v>2000</v>
      </c>
      <c r="G28" s="23">
        <v>953</v>
      </c>
      <c r="H28" s="23">
        <v>1113</v>
      </c>
      <c r="I28" s="23">
        <v>0</v>
      </c>
      <c r="J28" s="23">
        <v>0</v>
      </c>
      <c r="K28" s="23">
        <v>0</v>
      </c>
      <c r="L28" s="33" t="s">
        <v>182</v>
      </c>
    </row>
    <row r="29" spans="1:12" x14ac:dyDescent="0.2">
      <c r="A29" s="70">
        <v>45897</v>
      </c>
      <c r="B29" s="23">
        <v>3340</v>
      </c>
      <c r="C29" s="23">
        <v>1126</v>
      </c>
      <c r="D29" s="23">
        <v>4466</v>
      </c>
      <c r="E29" s="23">
        <v>5500</v>
      </c>
      <c r="F29" s="23">
        <v>2000</v>
      </c>
      <c r="G29" s="23">
        <v>966</v>
      </c>
      <c r="H29" s="23">
        <v>1126</v>
      </c>
      <c r="I29" s="23">
        <v>0</v>
      </c>
      <c r="J29" s="23">
        <v>0</v>
      </c>
      <c r="K29" s="23">
        <v>0</v>
      </c>
      <c r="L29" s="33" t="s">
        <v>183</v>
      </c>
    </row>
    <row r="30" spans="1:12" x14ac:dyDescent="0.2">
      <c r="A30" s="70">
        <v>45898</v>
      </c>
      <c r="B30" s="23">
        <v>3340</v>
      </c>
      <c r="C30" s="23">
        <v>1084</v>
      </c>
      <c r="D30" s="23">
        <v>4424</v>
      </c>
      <c r="E30" s="23">
        <v>5500</v>
      </c>
      <c r="F30" s="23">
        <v>2000</v>
      </c>
      <c r="G30" s="23">
        <v>924</v>
      </c>
      <c r="H30" s="23">
        <v>1084</v>
      </c>
      <c r="I30" s="23">
        <v>0</v>
      </c>
      <c r="J30" s="23">
        <v>0</v>
      </c>
      <c r="K30" s="23">
        <v>0</v>
      </c>
      <c r="L30" s="33" t="s">
        <v>184</v>
      </c>
    </row>
    <row r="31" spans="1:12" x14ac:dyDescent="0.2">
      <c r="A31" s="70">
        <v>45899</v>
      </c>
      <c r="B31" s="23">
        <v>3340</v>
      </c>
      <c r="C31" s="23">
        <v>1088</v>
      </c>
      <c r="D31" s="23">
        <v>4428</v>
      </c>
      <c r="E31" s="23">
        <v>5500</v>
      </c>
      <c r="F31" s="23">
        <v>2000</v>
      </c>
      <c r="G31" s="23">
        <v>928</v>
      </c>
      <c r="H31" s="23">
        <v>1088</v>
      </c>
      <c r="I31" s="23">
        <v>0</v>
      </c>
      <c r="J31" s="23">
        <v>0</v>
      </c>
      <c r="K31" s="23">
        <v>0</v>
      </c>
      <c r="L31" s="33" t="s">
        <v>185</v>
      </c>
    </row>
  </sheetData>
  <sortState xmlns:xlrd2="http://schemas.microsoft.com/office/spreadsheetml/2017/richdata2" ref="A2:L31">
    <sortCondition ref="A2:A31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B10D8-F06E-4D1B-A4C7-B0DE02F69CE2}">
  <sheetPr codeName="Sheet11"/>
  <dimension ref="A1:D6"/>
  <sheetViews>
    <sheetView zoomScale="175" zoomScaleNormal="175" workbookViewId="0">
      <selection activeCell="F4" sqref="F4"/>
    </sheetView>
  </sheetViews>
  <sheetFormatPr defaultRowHeight="12.75" x14ac:dyDescent="0.2"/>
  <cols>
    <col min="1" max="16384" width="9.140625" style="117"/>
  </cols>
  <sheetData>
    <row r="1" spans="1:4" x14ac:dyDescent="0.2">
      <c r="A1" s="118" t="s">
        <v>54</v>
      </c>
      <c r="B1" s="118" t="s">
        <v>156</v>
      </c>
      <c r="C1" s="118" t="s">
        <v>155</v>
      </c>
      <c r="D1" s="118" t="s">
        <v>154</v>
      </c>
    </row>
    <row r="2" spans="1:4" x14ac:dyDescent="0.2">
      <c r="A2" s="117" t="s">
        <v>54</v>
      </c>
      <c r="B2" s="117" t="s">
        <v>34</v>
      </c>
      <c r="C2" s="117" t="s">
        <v>43</v>
      </c>
      <c r="D2" s="117" t="s">
        <v>153</v>
      </c>
    </row>
    <row r="3" spans="1:4" x14ac:dyDescent="0.2">
      <c r="B3" s="117" t="s">
        <v>158</v>
      </c>
      <c r="C3" s="117" t="s">
        <v>35</v>
      </c>
      <c r="D3" s="117" t="s">
        <v>157</v>
      </c>
    </row>
    <row r="4" spans="1:4" x14ac:dyDescent="0.2">
      <c r="B4" s="117" t="s">
        <v>37</v>
      </c>
      <c r="C4" s="117" t="s">
        <v>51</v>
      </c>
    </row>
    <row r="5" spans="1:4" x14ac:dyDescent="0.2">
      <c r="B5" s="117" t="s">
        <v>85</v>
      </c>
    </row>
    <row r="6" spans="1:4" x14ac:dyDescent="0.2">
      <c r="B6" s="117" t="s">
        <v>152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C35B3-B252-4217-87DA-1A86E929AC62}">
  <sheetPr codeName="Sheet10">
    <outlinePr summaryBelow="0" summaryRight="0"/>
  </sheetPr>
  <dimension ref="A1:W235"/>
  <sheetViews>
    <sheetView zoomScale="160" zoomScaleNormal="160" workbookViewId="0">
      <pane ySplit="2" topLeftCell="A33" activePane="bottomLeft" state="frozen"/>
      <selection pane="bottomLeft" activeCell="G42" sqref="G42"/>
    </sheetView>
  </sheetViews>
  <sheetFormatPr defaultColWidth="14.42578125" defaultRowHeight="12.75" x14ac:dyDescent="0.2"/>
  <cols>
    <col min="1" max="1" width="13" customWidth="1"/>
    <col min="2" max="2" width="9.140625" customWidth="1"/>
    <col min="3" max="3" width="8" customWidth="1"/>
    <col min="4" max="4" width="9.28515625" customWidth="1"/>
    <col min="5" max="6" width="8.85546875" customWidth="1"/>
    <col min="7" max="7" width="44.140625" style="29" customWidth="1"/>
    <col min="8" max="8" width="36.28515625" customWidth="1"/>
    <col min="12" max="12" width="29" customWidth="1"/>
    <col min="13" max="13" width="33.28515625" customWidth="1"/>
  </cols>
  <sheetData>
    <row r="1" spans="1:23" x14ac:dyDescent="0.2">
      <c r="A1" s="19" t="s">
        <v>68</v>
      </c>
      <c r="B1" s="20"/>
      <c r="C1" s="20"/>
      <c r="D1" s="20"/>
      <c r="E1" s="20"/>
      <c r="F1" s="20"/>
      <c r="G1" s="27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</row>
    <row r="2" spans="1:23" x14ac:dyDescent="0.2">
      <c r="A2" s="21" t="s">
        <v>112</v>
      </c>
      <c r="B2" s="21" t="s">
        <v>117</v>
      </c>
      <c r="C2" s="21" t="s">
        <v>118</v>
      </c>
      <c r="D2" s="22" t="s">
        <v>119</v>
      </c>
      <c r="E2" s="22" t="s">
        <v>127</v>
      </c>
      <c r="F2" s="22" t="s">
        <v>120</v>
      </c>
      <c r="G2" s="28" t="s">
        <v>121</v>
      </c>
      <c r="H2" s="37" t="s">
        <v>140</v>
      </c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</row>
    <row r="3" spans="1:23" x14ac:dyDescent="0.2">
      <c r="A3" s="72">
        <v>44873</v>
      </c>
      <c r="B3" s="25" t="s">
        <v>122</v>
      </c>
      <c r="C3" s="25"/>
      <c r="D3" s="25"/>
      <c r="E3" s="25"/>
      <c r="F3" s="25">
        <v>118</v>
      </c>
      <c r="G3" s="25" t="s">
        <v>45</v>
      </c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</row>
    <row r="4" spans="1:23" ht="38.25" x14ac:dyDescent="0.2">
      <c r="A4" s="72">
        <v>44874</v>
      </c>
      <c r="B4" s="25" t="s">
        <v>123</v>
      </c>
      <c r="C4" s="25" t="s">
        <v>34</v>
      </c>
      <c r="D4" s="25">
        <v>1314</v>
      </c>
      <c r="E4" s="25">
        <v>0.02</v>
      </c>
      <c r="F4" s="25">
        <f>IF(B4="Buy",(-1)*D4*E4,D4*E4)</f>
        <v>-26.28</v>
      </c>
      <c r="G4" s="25" t="s">
        <v>38</v>
      </c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</row>
    <row r="5" spans="1:23" x14ac:dyDescent="0.2">
      <c r="A5" s="72">
        <v>44900</v>
      </c>
      <c r="B5" s="25" t="s">
        <v>124</v>
      </c>
      <c r="C5" s="25"/>
      <c r="D5" s="25"/>
      <c r="E5" s="25"/>
      <c r="F5" s="25">
        <v>45</v>
      </c>
      <c r="G5" s="25" t="s">
        <v>42</v>
      </c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</row>
    <row r="6" spans="1:23" x14ac:dyDescent="0.2">
      <c r="A6" s="72">
        <v>45099</v>
      </c>
      <c r="B6" s="25" t="s">
        <v>122</v>
      </c>
      <c r="C6" s="25"/>
      <c r="D6" s="25"/>
      <c r="E6" s="25"/>
      <c r="F6" s="25">
        <v>100</v>
      </c>
      <c r="G6" s="25" t="s">
        <v>44</v>
      </c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</row>
    <row r="7" spans="1:23" x14ac:dyDescent="0.2">
      <c r="A7" s="72">
        <v>45362</v>
      </c>
      <c r="B7" s="25" t="s">
        <v>125</v>
      </c>
      <c r="C7" s="25" t="s">
        <v>34</v>
      </c>
      <c r="D7" s="25">
        <v>4020</v>
      </c>
      <c r="E7" s="25">
        <v>0.01</v>
      </c>
      <c r="F7" s="25">
        <f>IF(B7="Buy",(-1)*D7*E7,D7*E7)</f>
        <v>40.200000000000003</v>
      </c>
      <c r="G7" s="25" t="s">
        <v>48</v>
      </c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</row>
    <row r="8" spans="1:23" ht="25.5" x14ac:dyDescent="0.2">
      <c r="A8" s="72">
        <v>45383</v>
      </c>
      <c r="B8" s="25" t="s">
        <v>122</v>
      </c>
      <c r="C8" s="25"/>
      <c r="D8" s="25"/>
      <c r="E8" s="25"/>
      <c r="F8" s="25">
        <v>200</v>
      </c>
      <c r="G8" s="25" t="s">
        <v>52</v>
      </c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</row>
    <row r="9" spans="1:23" ht="38.25" x14ac:dyDescent="0.2">
      <c r="A9" s="72">
        <v>45395</v>
      </c>
      <c r="B9" s="25" t="s">
        <v>122</v>
      </c>
      <c r="C9" s="25"/>
      <c r="D9" s="25"/>
      <c r="E9" s="25"/>
      <c r="F9" s="25">
        <v>75</v>
      </c>
      <c r="G9" s="25" t="s">
        <v>53</v>
      </c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</row>
    <row r="10" spans="1:23" x14ac:dyDescent="0.2">
      <c r="A10" s="72">
        <v>45396</v>
      </c>
      <c r="B10" s="25" t="s">
        <v>123</v>
      </c>
      <c r="C10" s="25" t="s">
        <v>54</v>
      </c>
      <c r="D10" s="25">
        <v>64306</v>
      </c>
      <c r="E10" s="25">
        <v>3.1E-4</v>
      </c>
      <c r="F10" s="25">
        <f>IF(B10="Buy",(-1)*D10*E10,D10*E10)</f>
        <v>-19.93486</v>
      </c>
      <c r="G10" s="25" t="s">
        <v>55</v>
      </c>
      <c r="H10" s="20" t="s">
        <v>66</v>
      </c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</row>
    <row r="11" spans="1:23" ht="25.5" x14ac:dyDescent="0.2">
      <c r="A11" s="72">
        <v>45399</v>
      </c>
      <c r="B11" s="25" t="s">
        <v>122</v>
      </c>
      <c r="C11" s="25"/>
      <c r="D11" s="25"/>
      <c r="E11" s="25"/>
      <c r="F11" s="25">
        <v>189</v>
      </c>
      <c r="G11" s="25" t="s">
        <v>56</v>
      </c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</row>
    <row r="12" spans="1:23" x14ac:dyDescent="0.2">
      <c r="A12" s="72">
        <v>45399</v>
      </c>
      <c r="B12" s="25" t="s">
        <v>123</v>
      </c>
      <c r="C12" s="25" t="s">
        <v>54</v>
      </c>
      <c r="D12" s="25">
        <v>60000</v>
      </c>
      <c r="E12" s="25">
        <v>1.57E-3</v>
      </c>
      <c r="F12" s="25">
        <f>IF(B12="Buy",(-1)*D12*E12,D12*E12)</f>
        <v>-94.2</v>
      </c>
      <c r="G12" s="25" t="s">
        <v>57</v>
      </c>
      <c r="H12" s="20" t="s">
        <v>66</v>
      </c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</row>
    <row r="13" spans="1:23" x14ac:dyDescent="0.2">
      <c r="A13" s="72">
        <v>45399</v>
      </c>
      <c r="B13" s="25" t="s">
        <v>123</v>
      </c>
      <c r="C13" s="25" t="s">
        <v>34</v>
      </c>
      <c r="D13" s="25">
        <v>2969</v>
      </c>
      <c r="E13" s="25">
        <v>3.1800000000000002E-2</v>
      </c>
      <c r="F13" s="25">
        <f>IF(B13="Buy",(-1)*D13*E13,D13*E13)</f>
        <v>-94.414200000000008</v>
      </c>
      <c r="G13" s="25" t="s">
        <v>58</v>
      </c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</row>
    <row r="14" spans="1:23" x14ac:dyDescent="0.2">
      <c r="A14" s="72">
        <v>45457</v>
      </c>
      <c r="B14" s="25" t="s">
        <v>122</v>
      </c>
      <c r="C14" s="25"/>
      <c r="D14" s="25"/>
      <c r="E14" s="25"/>
      <c r="F14" s="25">
        <v>581</v>
      </c>
      <c r="G14" s="25" t="s">
        <v>65</v>
      </c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</row>
    <row r="15" spans="1:23" x14ac:dyDescent="0.2">
      <c r="A15" s="72">
        <v>45461</v>
      </c>
      <c r="B15" s="25" t="s">
        <v>123</v>
      </c>
      <c r="C15" s="25" t="s">
        <v>54</v>
      </c>
      <c r="D15" s="25">
        <v>65000</v>
      </c>
      <c r="E15" s="25">
        <v>6.1500000000000001E-3</v>
      </c>
      <c r="F15" s="25">
        <f>IF(B15="Buy",(-1)*D15*E15,D15*E15)</f>
        <v>-399.75</v>
      </c>
      <c r="G15" s="25" t="s">
        <v>75</v>
      </c>
      <c r="H15" s="20" t="s">
        <v>66</v>
      </c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</row>
    <row r="16" spans="1:23" x14ac:dyDescent="0.2">
      <c r="A16" s="72">
        <v>45477</v>
      </c>
      <c r="B16" s="25" t="s">
        <v>123</v>
      </c>
      <c r="C16" s="25" t="s">
        <v>34</v>
      </c>
      <c r="D16" s="25">
        <v>3200</v>
      </c>
      <c r="E16" s="25">
        <v>5.62E-2</v>
      </c>
      <c r="F16" s="25">
        <f>IF(B16="Buy",(-1)*D16*E16,D16*E16)</f>
        <v>-179.84</v>
      </c>
      <c r="G16" s="25" t="s">
        <v>64</v>
      </c>
      <c r="H16" s="20" t="s">
        <v>66</v>
      </c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</row>
    <row r="17" spans="1:23" x14ac:dyDescent="0.2">
      <c r="A17" s="72">
        <v>45467</v>
      </c>
      <c r="B17" s="25" t="s">
        <v>122</v>
      </c>
      <c r="C17" s="25"/>
      <c r="D17" s="25"/>
      <c r="E17" s="25"/>
      <c r="F17" s="25">
        <v>577</v>
      </c>
      <c r="G17" s="25" t="s">
        <v>69</v>
      </c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</row>
    <row r="18" spans="1:23" x14ac:dyDescent="0.2">
      <c r="A18" s="72">
        <v>45468</v>
      </c>
      <c r="B18" s="25" t="s">
        <v>123</v>
      </c>
      <c r="C18" s="25" t="s">
        <v>54</v>
      </c>
      <c r="D18" s="25">
        <v>60000</v>
      </c>
      <c r="E18" s="25">
        <v>6.6699999999999997E-3</v>
      </c>
      <c r="F18" s="25">
        <f>IF(B18="Buy",(-1)*D18*E18,D18*E18)</f>
        <v>-400.2</v>
      </c>
      <c r="G18" s="25" t="s">
        <v>71</v>
      </c>
      <c r="H18" s="20" t="s">
        <v>72</v>
      </c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</row>
    <row r="19" spans="1:23" x14ac:dyDescent="0.2">
      <c r="A19" s="72">
        <v>45477</v>
      </c>
      <c r="B19" s="25" t="s">
        <v>123</v>
      </c>
      <c r="C19" s="25" t="s">
        <v>34</v>
      </c>
      <c r="D19" s="25">
        <v>3200</v>
      </c>
      <c r="E19" s="25">
        <v>5.5E-2</v>
      </c>
      <c r="F19" s="25">
        <f>IF(B19="Buy",(-1)*D19*E19,D19*E19)</f>
        <v>-176</v>
      </c>
      <c r="G19" s="25" t="s">
        <v>70</v>
      </c>
      <c r="H19" s="20" t="s">
        <v>72</v>
      </c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</row>
    <row r="20" spans="1:23" x14ac:dyDescent="0.2">
      <c r="A20" s="72">
        <v>45481</v>
      </c>
      <c r="B20" s="25" t="s">
        <v>122</v>
      </c>
      <c r="C20" s="25"/>
      <c r="D20" s="25"/>
      <c r="E20" s="25"/>
      <c r="F20" s="25">
        <v>384</v>
      </c>
      <c r="G20" s="25" t="s">
        <v>67</v>
      </c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</row>
    <row r="21" spans="1:23" x14ac:dyDescent="0.2">
      <c r="A21" s="72">
        <v>45509</v>
      </c>
      <c r="B21" s="25" t="s">
        <v>123</v>
      </c>
      <c r="C21" s="25" t="s">
        <v>54</v>
      </c>
      <c r="D21" s="25">
        <v>55000</v>
      </c>
      <c r="E21" s="25">
        <v>3.4499999999999999E-3</v>
      </c>
      <c r="F21" s="25">
        <f>IF(B21="Buy",(-1)*D21*E21,D21*E21)</f>
        <v>-189.75</v>
      </c>
      <c r="G21" s="25" t="s">
        <v>73</v>
      </c>
      <c r="H21" s="20" t="s">
        <v>66</v>
      </c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</row>
    <row r="22" spans="1:23" x14ac:dyDescent="0.2">
      <c r="A22" s="72">
        <v>45506</v>
      </c>
      <c r="B22" s="25" t="s">
        <v>123</v>
      </c>
      <c r="C22" s="25" t="s">
        <v>34</v>
      </c>
      <c r="D22" s="25">
        <v>3000</v>
      </c>
      <c r="E22" s="25">
        <v>6.5100000000000005E-2</v>
      </c>
      <c r="F22" s="25">
        <f>IF(B22="Buy",(-1)*D22*E22,D22*E22)</f>
        <v>-195.3</v>
      </c>
      <c r="G22" s="25" t="s">
        <v>74</v>
      </c>
      <c r="H22" s="20" t="s">
        <v>66</v>
      </c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</row>
    <row r="23" spans="1:23" x14ac:dyDescent="0.2">
      <c r="A23" s="72">
        <v>45541</v>
      </c>
      <c r="B23" s="25" t="s">
        <v>122</v>
      </c>
      <c r="C23" s="25"/>
      <c r="D23" s="25"/>
      <c r="E23" s="25"/>
      <c r="F23" s="25">
        <v>792</v>
      </c>
      <c r="G23" s="25" t="s">
        <v>81</v>
      </c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</row>
    <row r="24" spans="1:23" x14ac:dyDescent="0.2">
      <c r="A24" s="72">
        <v>45541</v>
      </c>
      <c r="B24" s="25" t="s">
        <v>123</v>
      </c>
      <c r="C24" s="25" t="s">
        <v>54</v>
      </c>
      <c r="D24" s="25">
        <v>54000</v>
      </c>
      <c r="E24" s="25">
        <v>5.5500000000000002E-3</v>
      </c>
      <c r="F24" s="25">
        <f t="shared" ref="F24:F30" si="0">IF(B24="Buy",(-1)*D24*E24,D24*E24)</f>
        <v>-299.7</v>
      </c>
      <c r="G24" s="25" t="s">
        <v>76</v>
      </c>
      <c r="H24" s="20" t="s">
        <v>72</v>
      </c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</row>
    <row r="25" spans="1:23" x14ac:dyDescent="0.2">
      <c r="A25" s="72">
        <v>45542</v>
      </c>
      <c r="B25" s="25" t="s">
        <v>123</v>
      </c>
      <c r="C25" s="25" t="s">
        <v>34</v>
      </c>
      <c r="D25" s="25">
        <v>2200</v>
      </c>
      <c r="E25" s="25">
        <v>0.1363</v>
      </c>
      <c r="F25" s="25">
        <f t="shared" si="0"/>
        <v>-299.86</v>
      </c>
      <c r="G25" s="25" t="s">
        <v>77</v>
      </c>
      <c r="H25" s="20" t="s">
        <v>72</v>
      </c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</row>
    <row r="26" spans="1:23" x14ac:dyDescent="0.2">
      <c r="A26" s="72">
        <v>45595</v>
      </c>
      <c r="B26" s="25" t="s">
        <v>125</v>
      </c>
      <c r="C26" s="60" t="s">
        <v>54</v>
      </c>
      <c r="D26" s="60">
        <v>72347</v>
      </c>
      <c r="E26" s="60">
        <v>6.0000000000000001E-3</v>
      </c>
      <c r="F26" s="25">
        <f t="shared" si="0"/>
        <v>434.08199999999999</v>
      </c>
      <c r="G26" s="60" t="s">
        <v>83</v>
      </c>
      <c r="H26" s="20" t="s">
        <v>72</v>
      </c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</row>
    <row r="27" spans="1:23" x14ac:dyDescent="0.2">
      <c r="A27" s="72">
        <v>45601</v>
      </c>
      <c r="B27" s="25" t="s">
        <v>123</v>
      </c>
      <c r="C27" s="60" t="s">
        <v>34</v>
      </c>
      <c r="D27" s="60">
        <v>2478</v>
      </c>
      <c r="E27" s="60">
        <v>8.4000000000000005E-2</v>
      </c>
      <c r="F27" s="25">
        <f t="shared" si="0"/>
        <v>-208.15200000000002</v>
      </c>
      <c r="G27" s="60" t="s">
        <v>82</v>
      </c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</row>
    <row r="28" spans="1:23" x14ac:dyDescent="0.2">
      <c r="A28" s="72">
        <v>45622</v>
      </c>
      <c r="B28" s="25" t="s">
        <v>125</v>
      </c>
      <c r="C28" s="20" t="s">
        <v>54</v>
      </c>
      <c r="D28" s="20">
        <v>93000</v>
      </c>
      <c r="E28" s="20">
        <v>3.0000000000000001E-3</v>
      </c>
      <c r="F28" s="25">
        <f t="shared" si="0"/>
        <v>279</v>
      </c>
      <c r="G28" s="27" t="s">
        <v>103</v>
      </c>
      <c r="H28" s="20" t="s">
        <v>72</v>
      </c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</row>
    <row r="29" spans="1:23" x14ac:dyDescent="0.2">
      <c r="A29" s="72">
        <v>45622</v>
      </c>
      <c r="B29" s="25" t="s">
        <v>125</v>
      </c>
      <c r="C29" s="20" t="s">
        <v>54</v>
      </c>
      <c r="D29" s="20">
        <v>94000</v>
      </c>
      <c r="E29" s="20">
        <v>6.0000000000000001E-3</v>
      </c>
      <c r="F29" s="25">
        <f t="shared" si="0"/>
        <v>564</v>
      </c>
      <c r="G29" s="27" t="s">
        <v>103</v>
      </c>
      <c r="H29" s="20" t="s">
        <v>66</v>
      </c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</row>
    <row r="30" spans="1:23" x14ac:dyDescent="0.2">
      <c r="A30" s="73">
        <v>45663</v>
      </c>
      <c r="B30" s="25" t="s">
        <v>125</v>
      </c>
      <c r="C30" s="20" t="s">
        <v>54</v>
      </c>
      <c r="D30" s="20">
        <v>100000</v>
      </c>
      <c r="E30" s="20">
        <v>2.7399999999999998E-3</v>
      </c>
      <c r="F30" s="25">
        <f t="shared" si="0"/>
        <v>274</v>
      </c>
      <c r="G30" s="27" t="s">
        <v>86</v>
      </c>
      <c r="H30" s="20" t="s">
        <v>66</v>
      </c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</row>
    <row r="31" spans="1:23" x14ac:dyDescent="0.2">
      <c r="A31" s="73">
        <v>45670</v>
      </c>
      <c r="B31" s="25" t="s">
        <v>122</v>
      </c>
      <c r="C31" s="20"/>
      <c r="D31" s="20"/>
      <c r="E31" s="20"/>
      <c r="F31" s="25">
        <v>115.38</v>
      </c>
      <c r="G31" s="20" t="s">
        <v>108</v>
      </c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</row>
    <row r="32" spans="1:23" x14ac:dyDescent="0.2">
      <c r="A32" s="73">
        <v>45676</v>
      </c>
      <c r="B32" s="25" t="s">
        <v>125</v>
      </c>
      <c r="C32" s="20" t="s">
        <v>54</v>
      </c>
      <c r="D32" s="20">
        <v>104215</v>
      </c>
      <c r="E32" s="20">
        <v>7.3999999999999999E-4</v>
      </c>
      <c r="F32" s="25">
        <f>IF(B32="Buy",(-1)*D32*E32,D32*E32)</f>
        <v>77.119100000000003</v>
      </c>
      <c r="G32" s="27" t="s">
        <v>89</v>
      </c>
      <c r="H32" s="20" t="s">
        <v>66</v>
      </c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</row>
    <row r="33" spans="1:23" x14ac:dyDescent="0.2">
      <c r="A33" s="73">
        <v>45678</v>
      </c>
      <c r="B33" s="25" t="s">
        <v>122</v>
      </c>
      <c r="C33" s="20"/>
      <c r="D33" s="20"/>
      <c r="E33" s="20"/>
      <c r="F33" s="25">
        <v>384.6</v>
      </c>
      <c r="G33" s="20" t="s">
        <v>109</v>
      </c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</row>
    <row r="34" spans="1:23" x14ac:dyDescent="0.2">
      <c r="A34" s="73">
        <v>45716</v>
      </c>
      <c r="B34" s="25" t="s">
        <v>123</v>
      </c>
      <c r="C34" s="20" t="s">
        <v>34</v>
      </c>
      <c r="D34" s="20">
        <v>2100</v>
      </c>
      <c r="E34" s="20">
        <v>7.1400000000000005E-2</v>
      </c>
      <c r="F34" s="25">
        <f>IF(B34="Buy",(-1)*D34*E34,D34*E34)</f>
        <v>-149.94</v>
      </c>
      <c r="G34" s="20" t="s">
        <v>91</v>
      </c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</row>
    <row r="35" spans="1:23" x14ac:dyDescent="0.2">
      <c r="A35" s="73">
        <v>45670</v>
      </c>
      <c r="B35" s="25" t="s">
        <v>123</v>
      </c>
      <c r="C35" s="20" t="s">
        <v>34</v>
      </c>
      <c r="D35" s="20">
        <v>3043</v>
      </c>
      <c r="E35" s="20">
        <v>4.0399999999999998E-2</v>
      </c>
      <c r="F35" s="25">
        <f>IF(B35="Buy",(-1)*D35*E35,D35*E35)</f>
        <v>-122.93719999999999</v>
      </c>
      <c r="G35" s="20" t="s">
        <v>96</v>
      </c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</row>
    <row r="36" spans="1:23" x14ac:dyDescent="0.2">
      <c r="A36" s="73">
        <v>45672</v>
      </c>
      <c r="B36" s="25" t="s">
        <v>125</v>
      </c>
      <c r="C36" s="20" t="s">
        <v>54</v>
      </c>
      <c r="D36" s="20">
        <v>99000</v>
      </c>
      <c r="E36" s="20">
        <v>3.21419E-3</v>
      </c>
      <c r="F36" s="25">
        <f>IF(B36="Buy",(-1)*D36*E36,D36*E36)</f>
        <v>318.20481000000001</v>
      </c>
      <c r="G36" s="20" t="s">
        <v>97</v>
      </c>
      <c r="H36" s="20" t="s">
        <v>72</v>
      </c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</row>
    <row r="37" spans="1:23" x14ac:dyDescent="0.2">
      <c r="A37" s="73">
        <v>45676</v>
      </c>
      <c r="B37" s="25" t="s">
        <v>125</v>
      </c>
      <c r="C37" s="20" t="s">
        <v>54</v>
      </c>
      <c r="D37" s="20">
        <v>103753</v>
      </c>
      <c r="E37" s="20">
        <v>1.0399999999999999E-4</v>
      </c>
      <c r="F37" s="25">
        <f>IF(B37="Buy",(-1)*D37*E37,D37*E37)</f>
        <v>10.790312</v>
      </c>
      <c r="G37" s="20" t="s">
        <v>104</v>
      </c>
      <c r="H37" s="20" t="s">
        <v>72</v>
      </c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</row>
    <row r="38" spans="1:23" ht="25.5" x14ac:dyDescent="0.2">
      <c r="A38" s="73">
        <v>45750</v>
      </c>
      <c r="B38" s="25" t="s">
        <v>125</v>
      </c>
      <c r="C38" s="20" t="s">
        <v>54</v>
      </c>
      <c r="D38" s="20">
        <v>83000</v>
      </c>
      <c r="E38" s="20">
        <v>2E-3</v>
      </c>
      <c r="F38" s="25">
        <f>IF(B38="Buy",(-1)*D38*E38,D38*E38)</f>
        <v>166</v>
      </c>
      <c r="G38" s="20" t="s">
        <v>105</v>
      </c>
      <c r="H38" s="20" t="s">
        <v>66</v>
      </c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</row>
    <row r="39" spans="1:23" ht="38.25" x14ac:dyDescent="0.2">
      <c r="A39" s="73">
        <v>45793</v>
      </c>
      <c r="B39" s="25" t="s">
        <v>122</v>
      </c>
      <c r="C39" s="20"/>
      <c r="D39" s="20"/>
      <c r="E39" s="20"/>
      <c r="F39" s="25">
        <v>1104</v>
      </c>
      <c r="G39" s="20" t="s">
        <v>110</v>
      </c>
      <c r="H39" s="20" t="s">
        <v>66</v>
      </c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</row>
    <row r="40" spans="1:23" x14ac:dyDescent="0.2">
      <c r="A40" s="73">
        <v>45887</v>
      </c>
      <c r="B40" s="25" t="s">
        <v>123</v>
      </c>
      <c r="C40" s="20" t="s">
        <v>34</v>
      </c>
      <c r="D40" s="20">
        <v>4300</v>
      </c>
      <c r="E40" s="20">
        <v>4.6511627906976744E-2</v>
      </c>
      <c r="F40" s="25">
        <f>IF(B40="Buy",(-1)*D40*E40,D40*E40)</f>
        <v>-200</v>
      </c>
      <c r="G40" s="20" t="s">
        <v>126</v>
      </c>
      <c r="H40" s="20" t="s">
        <v>66</v>
      </c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</row>
    <row r="41" spans="1:23" x14ac:dyDescent="0.2">
      <c r="G41" s="20"/>
      <c r="H41" s="20" t="s">
        <v>72</v>
      </c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</row>
    <row r="42" spans="1:23" x14ac:dyDescent="0.2">
      <c r="G42" s="20"/>
      <c r="H42" s="20" t="s">
        <v>72</v>
      </c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</row>
    <row r="43" spans="1:23" x14ac:dyDescent="0.2">
      <c r="G43" s="20"/>
      <c r="H43" s="20" t="s">
        <v>150</v>
      </c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</row>
    <row r="44" spans="1:23" x14ac:dyDescent="0.2">
      <c r="G44" s="20"/>
      <c r="H44" s="20" t="s">
        <v>150</v>
      </c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</row>
    <row r="45" spans="1:23" x14ac:dyDescent="0.2">
      <c r="A45" s="73"/>
      <c r="B45" s="20"/>
      <c r="C45" s="20"/>
      <c r="D45" s="20"/>
      <c r="E45" s="20"/>
      <c r="F45" s="20"/>
      <c r="G45" s="27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</row>
    <row r="46" spans="1:23" x14ac:dyDescent="0.2">
      <c r="A46" s="73"/>
      <c r="B46" s="20"/>
      <c r="C46" s="20"/>
      <c r="D46" s="20"/>
      <c r="E46" s="20"/>
      <c r="F46" s="20"/>
      <c r="G46" s="27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</row>
    <row r="47" spans="1:23" x14ac:dyDescent="0.2">
      <c r="A47" s="73"/>
      <c r="B47" s="20"/>
      <c r="C47" s="20"/>
      <c r="D47" s="20"/>
      <c r="E47" s="20"/>
      <c r="F47" s="20"/>
      <c r="G47" s="27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</row>
    <row r="48" spans="1:23" x14ac:dyDescent="0.2">
      <c r="A48" s="73"/>
      <c r="B48" s="20"/>
      <c r="C48" s="20"/>
      <c r="D48" s="20"/>
      <c r="E48" s="20"/>
      <c r="F48" s="20"/>
      <c r="G48" s="27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</row>
    <row r="49" spans="1:23" x14ac:dyDescent="0.2">
      <c r="A49" s="73"/>
      <c r="B49" s="20"/>
      <c r="C49" s="20"/>
      <c r="D49" s="20"/>
      <c r="E49" s="20"/>
      <c r="F49" s="20"/>
      <c r="G49" s="27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</row>
    <row r="50" spans="1:23" x14ac:dyDescent="0.2">
      <c r="A50" s="73"/>
      <c r="B50" s="20"/>
      <c r="C50" s="20"/>
      <c r="D50" s="20"/>
      <c r="E50" s="20"/>
      <c r="F50" s="20"/>
      <c r="G50" s="27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</row>
    <row r="51" spans="1:23" x14ac:dyDescent="0.2">
      <c r="A51" s="73"/>
      <c r="B51" s="20"/>
      <c r="C51" s="20"/>
      <c r="D51" s="20"/>
      <c r="E51" s="20"/>
      <c r="F51" s="20"/>
      <c r="G51" s="27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</row>
    <row r="52" spans="1:23" x14ac:dyDescent="0.2">
      <c r="A52" s="73"/>
      <c r="B52" s="20"/>
      <c r="C52" s="20"/>
      <c r="D52" s="20"/>
      <c r="E52" s="20"/>
      <c r="F52" s="20"/>
      <c r="G52" s="27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</row>
    <row r="53" spans="1:23" x14ac:dyDescent="0.2">
      <c r="A53" s="73"/>
      <c r="B53" s="20"/>
      <c r="C53" s="20"/>
      <c r="D53" s="20"/>
      <c r="E53" s="20"/>
      <c r="F53" s="20"/>
      <c r="G53" s="27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</row>
    <row r="54" spans="1:23" x14ac:dyDescent="0.2">
      <c r="A54" s="73"/>
      <c r="B54" s="20"/>
      <c r="C54" s="20"/>
      <c r="D54" s="20"/>
      <c r="E54" s="20"/>
      <c r="F54" s="20"/>
      <c r="G54" s="27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</row>
    <row r="55" spans="1:23" x14ac:dyDescent="0.2">
      <c r="A55" s="73"/>
      <c r="B55" s="20"/>
      <c r="C55" s="20"/>
      <c r="D55" s="20"/>
      <c r="E55" s="20"/>
      <c r="F55" s="20"/>
      <c r="G55" s="27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</row>
    <row r="56" spans="1:23" x14ac:dyDescent="0.2">
      <c r="A56" s="73"/>
      <c r="B56" s="20"/>
      <c r="C56" s="20"/>
      <c r="D56" s="20"/>
      <c r="E56" s="20"/>
      <c r="F56" s="20"/>
      <c r="G56" s="27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</row>
    <row r="57" spans="1:23" x14ac:dyDescent="0.2">
      <c r="A57" s="73"/>
      <c r="B57" s="20"/>
      <c r="C57" s="20"/>
      <c r="D57" s="20"/>
      <c r="E57" s="20"/>
      <c r="F57" s="20"/>
      <c r="G57" s="27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</row>
    <row r="58" spans="1:23" x14ac:dyDescent="0.2">
      <c r="A58" s="73"/>
      <c r="B58" s="20"/>
      <c r="C58" s="20"/>
      <c r="D58" s="20"/>
      <c r="E58" s="20"/>
      <c r="F58" s="20"/>
      <c r="G58" s="27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</row>
    <row r="59" spans="1:23" x14ac:dyDescent="0.2">
      <c r="A59" s="73"/>
      <c r="B59" s="20"/>
      <c r="C59" s="20"/>
      <c r="D59" s="20"/>
      <c r="E59" s="20"/>
      <c r="F59" s="20"/>
      <c r="G59" s="27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</row>
    <row r="60" spans="1:23" x14ac:dyDescent="0.2">
      <c r="A60" s="73"/>
      <c r="B60" s="20"/>
      <c r="C60" s="20"/>
      <c r="D60" s="20"/>
      <c r="E60" s="20"/>
      <c r="F60" s="20"/>
      <c r="G60" s="27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</row>
    <row r="61" spans="1:23" x14ac:dyDescent="0.2">
      <c r="A61" s="20"/>
      <c r="B61" s="20"/>
      <c r="C61" s="20"/>
      <c r="D61" s="20"/>
      <c r="E61" s="20"/>
      <c r="F61" s="20"/>
      <c r="G61" s="27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</row>
    <row r="62" spans="1:23" x14ac:dyDescent="0.2">
      <c r="A62" s="20"/>
      <c r="B62" s="20"/>
      <c r="C62" s="20"/>
      <c r="D62" s="20"/>
      <c r="E62" s="20"/>
      <c r="F62" s="20"/>
      <c r="G62" s="27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</row>
    <row r="63" spans="1:23" x14ac:dyDescent="0.2">
      <c r="A63" s="20"/>
      <c r="B63" s="20"/>
      <c r="C63" s="20"/>
      <c r="D63" s="20"/>
      <c r="E63" s="20"/>
      <c r="F63" s="20"/>
      <c r="G63" s="27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</row>
    <row r="64" spans="1:23" x14ac:dyDescent="0.2">
      <c r="A64" s="20"/>
      <c r="B64" s="20"/>
      <c r="C64" s="20"/>
      <c r="D64" s="20"/>
      <c r="E64" s="20"/>
      <c r="F64" s="20"/>
      <c r="G64" s="27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</row>
    <row r="65" spans="1:23" x14ac:dyDescent="0.2">
      <c r="A65" s="20"/>
      <c r="B65" s="20"/>
      <c r="C65" s="20"/>
      <c r="D65" s="20"/>
      <c r="E65" s="20"/>
      <c r="F65" s="20"/>
      <c r="G65" s="27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</row>
    <row r="66" spans="1:23" x14ac:dyDescent="0.2">
      <c r="A66" s="20"/>
      <c r="B66" s="20"/>
      <c r="C66" s="20"/>
      <c r="D66" s="20"/>
      <c r="E66" s="20"/>
      <c r="F66" s="20"/>
      <c r="G66" s="27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</row>
    <row r="67" spans="1:23" x14ac:dyDescent="0.2">
      <c r="A67" s="20"/>
      <c r="B67" s="20"/>
      <c r="C67" s="20"/>
      <c r="D67" s="20"/>
      <c r="E67" s="20"/>
      <c r="F67" s="20"/>
      <c r="G67" s="27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</row>
    <row r="68" spans="1:23" x14ac:dyDescent="0.2">
      <c r="A68" s="20"/>
      <c r="B68" s="20"/>
      <c r="C68" s="20"/>
      <c r="D68" s="20"/>
      <c r="E68" s="20"/>
      <c r="F68" s="20"/>
      <c r="G68" s="27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</row>
    <row r="69" spans="1:23" x14ac:dyDescent="0.2">
      <c r="A69" s="20"/>
      <c r="B69" s="20"/>
      <c r="C69" s="20"/>
      <c r="D69" s="20"/>
      <c r="E69" s="20"/>
      <c r="F69" s="20"/>
      <c r="G69" s="27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</row>
    <row r="70" spans="1:23" x14ac:dyDescent="0.2">
      <c r="A70" s="20"/>
      <c r="B70" s="20"/>
      <c r="C70" s="20"/>
      <c r="D70" s="20"/>
      <c r="E70" s="20"/>
      <c r="F70" s="20"/>
      <c r="G70" s="27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</row>
    <row r="71" spans="1:23" x14ac:dyDescent="0.2">
      <c r="A71" s="20"/>
      <c r="B71" s="20"/>
      <c r="C71" s="20"/>
      <c r="D71" s="20"/>
      <c r="E71" s="20"/>
      <c r="F71" s="20"/>
      <c r="G71" s="27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</row>
    <row r="72" spans="1:23" x14ac:dyDescent="0.2">
      <c r="A72" s="20"/>
      <c r="B72" s="20"/>
      <c r="C72" s="20"/>
      <c r="D72" s="20"/>
      <c r="E72" s="20"/>
      <c r="F72" s="20"/>
      <c r="G72" s="27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</row>
    <row r="73" spans="1:23" x14ac:dyDescent="0.2">
      <c r="A73" s="20"/>
      <c r="B73" s="20"/>
      <c r="C73" s="20"/>
      <c r="D73" s="20"/>
      <c r="E73" s="20"/>
      <c r="F73" s="20"/>
      <c r="G73" s="27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</row>
    <row r="74" spans="1:23" x14ac:dyDescent="0.2">
      <c r="A74" s="20"/>
      <c r="B74" s="20"/>
      <c r="C74" s="20"/>
      <c r="D74" s="20"/>
      <c r="E74" s="20"/>
      <c r="F74" s="20"/>
      <c r="G74" s="27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</row>
    <row r="75" spans="1:23" x14ac:dyDescent="0.2">
      <c r="A75" s="20"/>
      <c r="B75" s="20"/>
      <c r="C75" s="20"/>
      <c r="D75" s="20"/>
      <c r="E75" s="20"/>
      <c r="F75" s="20"/>
      <c r="G75" s="27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</row>
    <row r="76" spans="1:23" x14ac:dyDescent="0.2">
      <c r="A76" s="20"/>
      <c r="B76" s="20"/>
      <c r="C76" s="20"/>
      <c r="D76" s="20"/>
      <c r="E76" s="20"/>
      <c r="F76" s="20"/>
      <c r="G76" s="27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</row>
    <row r="77" spans="1:23" x14ac:dyDescent="0.2">
      <c r="A77" s="20"/>
      <c r="B77" s="20"/>
      <c r="C77" s="20"/>
      <c r="D77" s="20"/>
      <c r="E77" s="20"/>
      <c r="F77" s="20"/>
      <c r="G77" s="27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</row>
    <row r="78" spans="1:23" x14ac:dyDescent="0.2">
      <c r="A78" s="20"/>
      <c r="B78" s="20"/>
      <c r="C78" s="20"/>
      <c r="D78" s="20"/>
      <c r="E78" s="20"/>
      <c r="F78" s="20"/>
      <c r="G78" s="27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</row>
    <row r="79" spans="1:23" x14ac:dyDescent="0.2">
      <c r="A79" s="20"/>
      <c r="B79" s="20"/>
      <c r="C79" s="20"/>
      <c r="D79" s="20"/>
      <c r="E79" s="20"/>
      <c r="F79" s="20"/>
      <c r="G79" s="27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</row>
    <row r="80" spans="1:23" x14ac:dyDescent="0.2">
      <c r="A80" s="20"/>
      <c r="B80" s="20"/>
      <c r="C80" s="20"/>
      <c r="D80" s="20"/>
      <c r="E80" s="20"/>
      <c r="F80" s="20"/>
      <c r="G80" s="27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</row>
    <row r="81" spans="1:23" x14ac:dyDescent="0.2">
      <c r="A81" s="20"/>
      <c r="B81" s="20"/>
      <c r="C81" s="20"/>
      <c r="D81" s="20"/>
      <c r="E81" s="20"/>
      <c r="F81" s="20"/>
      <c r="G81" s="27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</row>
    <row r="82" spans="1:23" x14ac:dyDescent="0.2">
      <c r="A82" s="20"/>
      <c r="B82" s="20"/>
      <c r="C82" s="20"/>
      <c r="D82" s="20"/>
      <c r="E82" s="20"/>
      <c r="F82" s="20"/>
      <c r="G82" s="27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</row>
    <row r="83" spans="1:23" x14ac:dyDescent="0.2">
      <c r="A83" s="20"/>
      <c r="B83" s="20"/>
      <c r="C83" s="20"/>
      <c r="D83" s="20"/>
      <c r="E83" s="20"/>
      <c r="F83" s="20"/>
      <c r="G83" s="27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</row>
    <row r="84" spans="1:23" x14ac:dyDescent="0.2">
      <c r="A84" s="20"/>
      <c r="B84" s="20"/>
      <c r="C84" s="20"/>
      <c r="D84" s="20"/>
      <c r="E84" s="20"/>
      <c r="F84" s="20"/>
      <c r="G84" s="27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</row>
    <row r="85" spans="1:23" x14ac:dyDescent="0.2">
      <c r="A85" s="20"/>
      <c r="B85" s="20"/>
      <c r="C85" s="20"/>
      <c r="D85" s="20"/>
      <c r="E85" s="20"/>
      <c r="F85" s="20"/>
      <c r="G85" s="27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</row>
    <row r="86" spans="1:23" x14ac:dyDescent="0.2">
      <c r="A86" s="20"/>
      <c r="B86" s="20"/>
      <c r="C86" s="20"/>
      <c r="D86" s="20"/>
      <c r="E86" s="20"/>
      <c r="F86" s="20"/>
      <c r="G86" s="27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</row>
    <row r="87" spans="1:23" x14ac:dyDescent="0.2">
      <c r="A87" s="20"/>
      <c r="B87" s="20"/>
      <c r="C87" s="20"/>
      <c r="D87" s="20"/>
      <c r="E87" s="20"/>
      <c r="F87" s="20"/>
      <c r="G87" s="27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</row>
    <row r="88" spans="1:23" x14ac:dyDescent="0.2">
      <c r="A88" s="20"/>
      <c r="B88" s="20"/>
      <c r="C88" s="20"/>
      <c r="D88" s="20"/>
      <c r="E88" s="20"/>
      <c r="F88" s="20"/>
      <c r="G88" s="27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</row>
    <row r="89" spans="1:23" x14ac:dyDescent="0.2">
      <c r="A89" s="20"/>
      <c r="B89" s="20"/>
      <c r="C89" s="20"/>
      <c r="D89" s="20"/>
      <c r="E89" s="20"/>
      <c r="F89" s="20"/>
      <c r="G89" s="27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</row>
    <row r="90" spans="1:23" x14ac:dyDescent="0.2">
      <c r="A90" s="20"/>
      <c r="B90" s="20"/>
      <c r="C90" s="20"/>
      <c r="D90" s="20"/>
      <c r="E90" s="20"/>
      <c r="F90" s="20"/>
      <c r="G90" s="27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</row>
    <row r="91" spans="1:23" x14ac:dyDescent="0.2">
      <c r="A91" s="20"/>
      <c r="B91" s="20"/>
      <c r="C91" s="20"/>
      <c r="D91" s="20"/>
      <c r="E91" s="20"/>
      <c r="F91" s="20"/>
      <c r="G91" s="27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</row>
    <row r="92" spans="1:23" x14ac:dyDescent="0.2">
      <c r="A92" s="20"/>
      <c r="B92" s="20"/>
      <c r="C92" s="20"/>
      <c r="D92" s="20"/>
      <c r="E92" s="20"/>
      <c r="F92" s="20"/>
      <c r="G92" s="27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</row>
    <row r="93" spans="1:23" x14ac:dyDescent="0.2">
      <c r="A93" s="20"/>
      <c r="B93" s="20"/>
      <c r="C93" s="20"/>
      <c r="D93" s="20"/>
      <c r="E93" s="20"/>
      <c r="F93" s="20"/>
      <c r="G93" s="27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</row>
    <row r="94" spans="1:23" x14ac:dyDescent="0.2">
      <c r="A94" s="20"/>
      <c r="B94" s="20"/>
      <c r="C94" s="20"/>
      <c r="D94" s="20"/>
      <c r="E94" s="20"/>
      <c r="F94" s="20"/>
      <c r="G94" s="27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</row>
    <row r="95" spans="1:23" x14ac:dyDescent="0.2">
      <c r="A95" s="20"/>
      <c r="B95" s="20"/>
      <c r="C95" s="20"/>
      <c r="D95" s="20"/>
      <c r="E95" s="20"/>
      <c r="F95" s="20"/>
      <c r="G95" s="27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</row>
    <row r="96" spans="1:23" x14ac:dyDescent="0.2">
      <c r="A96" s="20"/>
      <c r="B96" s="20"/>
      <c r="C96" s="20"/>
      <c r="D96" s="20"/>
      <c r="E96" s="20"/>
      <c r="F96" s="20"/>
      <c r="G96" s="27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</row>
    <row r="97" spans="1:23" x14ac:dyDescent="0.2">
      <c r="A97" s="20"/>
      <c r="B97" s="20"/>
      <c r="C97" s="20"/>
      <c r="D97" s="20"/>
      <c r="E97" s="20"/>
      <c r="F97" s="20"/>
      <c r="G97" s="27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</row>
    <row r="98" spans="1:23" x14ac:dyDescent="0.2">
      <c r="A98" s="20"/>
      <c r="B98" s="20"/>
      <c r="C98" s="20"/>
      <c r="D98" s="20"/>
      <c r="E98" s="20"/>
      <c r="F98" s="20"/>
      <c r="G98" s="27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</row>
    <row r="99" spans="1:23" x14ac:dyDescent="0.2">
      <c r="A99" s="20"/>
      <c r="B99" s="20"/>
      <c r="C99" s="20"/>
      <c r="D99" s="20"/>
      <c r="E99" s="20"/>
      <c r="F99" s="20"/>
      <c r="G99" s="27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</row>
    <row r="100" spans="1:23" x14ac:dyDescent="0.2">
      <c r="A100" s="20"/>
      <c r="B100" s="20"/>
      <c r="C100" s="20"/>
      <c r="D100" s="20"/>
      <c r="E100" s="20"/>
      <c r="F100" s="20"/>
      <c r="G100" s="27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</row>
    <row r="101" spans="1:23" x14ac:dyDescent="0.2">
      <c r="A101" s="20"/>
      <c r="B101" s="20"/>
      <c r="C101" s="20"/>
      <c r="D101" s="20"/>
      <c r="E101" s="20"/>
      <c r="F101" s="20"/>
      <c r="G101" s="27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</row>
    <row r="102" spans="1:23" x14ac:dyDescent="0.2">
      <c r="A102" s="20"/>
      <c r="B102" s="20"/>
      <c r="C102" s="20"/>
      <c r="D102" s="20"/>
      <c r="E102" s="20"/>
      <c r="F102" s="20"/>
      <c r="G102" s="27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</row>
    <row r="103" spans="1:23" x14ac:dyDescent="0.2">
      <c r="A103" s="20"/>
      <c r="B103" s="20"/>
      <c r="C103" s="20"/>
      <c r="D103" s="20"/>
      <c r="E103" s="20"/>
      <c r="F103" s="20"/>
      <c r="G103" s="27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</row>
    <row r="104" spans="1:23" x14ac:dyDescent="0.2">
      <c r="A104" s="20"/>
      <c r="B104" s="20"/>
      <c r="C104" s="20"/>
      <c r="D104" s="20"/>
      <c r="E104" s="20"/>
      <c r="F104" s="20"/>
      <c r="G104" s="27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</row>
    <row r="105" spans="1:23" x14ac:dyDescent="0.2">
      <c r="A105" s="20"/>
      <c r="B105" s="20"/>
      <c r="C105" s="20"/>
      <c r="D105" s="20"/>
      <c r="E105" s="20"/>
      <c r="F105" s="20"/>
      <c r="G105" s="27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</row>
    <row r="106" spans="1:23" x14ac:dyDescent="0.2">
      <c r="A106" s="20"/>
      <c r="B106" s="20"/>
      <c r="C106" s="20"/>
      <c r="D106" s="20"/>
      <c r="E106" s="20"/>
      <c r="F106" s="20"/>
      <c r="G106" s="27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</row>
    <row r="107" spans="1:23" x14ac:dyDescent="0.2">
      <c r="A107" s="20"/>
      <c r="B107" s="20"/>
      <c r="C107" s="20"/>
      <c r="D107" s="20"/>
      <c r="E107" s="20"/>
      <c r="F107" s="20"/>
      <c r="G107" s="27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</row>
    <row r="108" spans="1:23" x14ac:dyDescent="0.2">
      <c r="A108" s="20"/>
      <c r="B108" s="20"/>
      <c r="C108" s="20"/>
      <c r="D108" s="20"/>
      <c r="E108" s="20"/>
      <c r="F108" s="20"/>
      <c r="G108" s="27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</row>
    <row r="109" spans="1:23" x14ac:dyDescent="0.2">
      <c r="A109" s="20"/>
      <c r="B109" s="20"/>
      <c r="C109" s="20"/>
      <c r="D109" s="20"/>
      <c r="E109" s="20"/>
      <c r="F109" s="20"/>
      <c r="G109" s="27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</row>
    <row r="110" spans="1:23" x14ac:dyDescent="0.2">
      <c r="A110" s="20"/>
      <c r="B110" s="20"/>
      <c r="C110" s="20"/>
      <c r="D110" s="20"/>
      <c r="E110" s="20"/>
      <c r="F110" s="20"/>
      <c r="G110" s="27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</row>
    <row r="111" spans="1:23" x14ac:dyDescent="0.2">
      <c r="A111" s="20"/>
      <c r="B111" s="20"/>
      <c r="C111" s="20"/>
      <c r="D111" s="20"/>
      <c r="E111" s="20"/>
      <c r="F111" s="20"/>
      <c r="G111" s="27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</row>
    <row r="112" spans="1:23" x14ac:dyDescent="0.2">
      <c r="A112" s="20"/>
      <c r="B112" s="20"/>
      <c r="C112" s="20"/>
      <c r="D112" s="20"/>
      <c r="E112" s="20"/>
      <c r="F112" s="20"/>
      <c r="G112" s="27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</row>
    <row r="113" spans="1:23" x14ac:dyDescent="0.2">
      <c r="A113" s="20"/>
      <c r="B113" s="20"/>
      <c r="C113" s="20"/>
      <c r="D113" s="20"/>
      <c r="E113" s="20"/>
      <c r="F113" s="20"/>
      <c r="G113" s="27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</row>
    <row r="114" spans="1:23" x14ac:dyDescent="0.2">
      <c r="A114" s="20"/>
      <c r="B114" s="20"/>
      <c r="C114" s="20"/>
      <c r="D114" s="20"/>
      <c r="E114" s="20"/>
      <c r="F114" s="20"/>
      <c r="G114" s="27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</row>
    <row r="115" spans="1:23" x14ac:dyDescent="0.2">
      <c r="A115" s="20"/>
      <c r="B115" s="20"/>
      <c r="C115" s="20"/>
      <c r="D115" s="20"/>
      <c r="E115" s="20"/>
      <c r="F115" s="20"/>
      <c r="G115" s="27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</row>
    <row r="116" spans="1:23" x14ac:dyDescent="0.2">
      <c r="A116" s="20"/>
      <c r="B116" s="20"/>
      <c r="C116" s="20"/>
      <c r="D116" s="20"/>
      <c r="E116" s="20"/>
      <c r="F116" s="20"/>
      <c r="G116" s="27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</row>
    <row r="117" spans="1:23" x14ac:dyDescent="0.2">
      <c r="A117" s="20"/>
      <c r="B117" s="20"/>
      <c r="C117" s="20"/>
      <c r="D117" s="20"/>
      <c r="E117" s="20"/>
      <c r="F117" s="20"/>
      <c r="G117" s="27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</row>
    <row r="118" spans="1:23" x14ac:dyDescent="0.2">
      <c r="A118" s="20"/>
      <c r="B118" s="20"/>
      <c r="C118" s="20"/>
      <c r="D118" s="20"/>
      <c r="E118" s="20"/>
      <c r="F118" s="20"/>
      <c r="G118" s="27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</row>
    <row r="119" spans="1:23" x14ac:dyDescent="0.2">
      <c r="A119" s="20"/>
      <c r="B119" s="20"/>
      <c r="C119" s="20"/>
      <c r="D119" s="20"/>
      <c r="E119" s="20"/>
      <c r="F119" s="20"/>
      <c r="G119" s="27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</row>
    <row r="120" spans="1:23" x14ac:dyDescent="0.2">
      <c r="A120" s="20"/>
      <c r="B120" s="20"/>
      <c r="C120" s="20"/>
      <c r="D120" s="20"/>
      <c r="E120" s="20"/>
      <c r="F120" s="20"/>
      <c r="G120" s="27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</row>
    <row r="121" spans="1:23" x14ac:dyDescent="0.2">
      <c r="A121" s="20"/>
      <c r="B121" s="20"/>
      <c r="C121" s="20"/>
      <c r="D121" s="20"/>
      <c r="E121" s="20"/>
      <c r="F121" s="20"/>
      <c r="G121" s="27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</row>
    <row r="122" spans="1:23" x14ac:dyDescent="0.2">
      <c r="A122" s="20"/>
      <c r="B122" s="20"/>
      <c r="C122" s="20"/>
      <c r="D122" s="20"/>
      <c r="E122" s="20"/>
      <c r="F122" s="20"/>
      <c r="G122" s="27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</row>
    <row r="123" spans="1:23" x14ac:dyDescent="0.2">
      <c r="A123" s="20"/>
      <c r="B123" s="20"/>
      <c r="C123" s="20"/>
      <c r="D123" s="20"/>
      <c r="E123" s="20"/>
      <c r="F123" s="20"/>
      <c r="G123" s="27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</row>
    <row r="124" spans="1:23" x14ac:dyDescent="0.2">
      <c r="A124" s="20"/>
      <c r="B124" s="20"/>
      <c r="C124" s="20"/>
      <c r="D124" s="20"/>
      <c r="E124" s="20"/>
      <c r="F124" s="20"/>
      <c r="G124" s="27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</row>
    <row r="125" spans="1:23" x14ac:dyDescent="0.2">
      <c r="A125" s="20"/>
      <c r="B125" s="20"/>
      <c r="C125" s="20"/>
      <c r="D125" s="20"/>
      <c r="E125" s="20"/>
      <c r="F125" s="20"/>
      <c r="G125" s="27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</row>
    <row r="126" spans="1:23" x14ac:dyDescent="0.2">
      <c r="A126" s="20"/>
      <c r="B126" s="20"/>
      <c r="C126" s="20"/>
      <c r="D126" s="20"/>
      <c r="E126" s="20"/>
      <c r="F126" s="20"/>
      <c r="G126" s="27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</row>
    <row r="127" spans="1:23" x14ac:dyDescent="0.2">
      <c r="A127" s="20"/>
      <c r="B127" s="20"/>
      <c r="C127" s="20"/>
      <c r="D127" s="20"/>
      <c r="E127" s="20"/>
      <c r="F127" s="20"/>
      <c r="G127" s="27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</row>
    <row r="128" spans="1:23" x14ac:dyDescent="0.2">
      <c r="A128" s="20"/>
      <c r="B128" s="20"/>
      <c r="C128" s="20"/>
      <c r="D128" s="20"/>
      <c r="E128" s="20"/>
      <c r="F128" s="20"/>
      <c r="G128" s="27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</row>
    <row r="129" spans="1:23" x14ac:dyDescent="0.2">
      <c r="A129" s="20"/>
      <c r="B129" s="20"/>
      <c r="C129" s="20"/>
      <c r="D129" s="20"/>
      <c r="E129" s="20"/>
      <c r="F129" s="20"/>
      <c r="G129" s="27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</row>
    <row r="130" spans="1:23" x14ac:dyDescent="0.2">
      <c r="A130" s="20"/>
      <c r="B130" s="20"/>
      <c r="C130" s="20"/>
      <c r="D130" s="20"/>
      <c r="E130" s="20"/>
      <c r="F130" s="20"/>
      <c r="G130" s="27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</row>
    <row r="131" spans="1:23" x14ac:dyDescent="0.2">
      <c r="A131" s="20"/>
      <c r="B131" s="20"/>
      <c r="C131" s="20"/>
      <c r="D131" s="20"/>
      <c r="E131" s="20"/>
      <c r="F131" s="20"/>
      <c r="G131" s="27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</row>
    <row r="132" spans="1:23" x14ac:dyDescent="0.2">
      <c r="A132" s="20"/>
      <c r="B132" s="20"/>
      <c r="C132" s="20"/>
      <c r="D132" s="20"/>
      <c r="E132" s="20"/>
      <c r="F132" s="20"/>
      <c r="G132" s="27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</row>
    <row r="133" spans="1:23" x14ac:dyDescent="0.2">
      <c r="A133" s="20"/>
      <c r="B133" s="20"/>
      <c r="C133" s="20"/>
      <c r="D133" s="20"/>
      <c r="E133" s="20"/>
      <c r="F133" s="20"/>
      <c r="G133" s="27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</row>
    <row r="134" spans="1:23" x14ac:dyDescent="0.2">
      <c r="A134" s="20"/>
      <c r="B134" s="20"/>
      <c r="C134" s="20"/>
      <c r="D134" s="20"/>
      <c r="E134" s="20"/>
      <c r="F134" s="20"/>
      <c r="G134" s="27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</row>
    <row r="135" spans="1:23" x14ac:dyDescent="0.2">
      <c r="A135" s="20"/>
      <c r="B135" s="20"/>
      <c r="C135" s="20"/>
      <c r="D135" s="20"/>
      <c r="E135" s="20"/>
      <c r="F135" s="20"/>
      <c r="G135" s="27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</row>
    <row r="136" spans="1:23" x14ac:dyDescent="0.2">
      <c r="A136" s="20"/>
      <c r="B136" s="20"/>
      <c r="C136" s="20"/>
      <c r="D136" s="20"/>
      <c r="E136" s="20"/>
      <c r="F136" s="20"/>
      <c r="G136" s="27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</row>
    <row r="137" spans="1:23" x14ac:dyDescent="0.2">
      <c r="A137" s="20"/>
      <c r="B137" s="20"/>
      <c r="C137" s="20"/>
      <c r="D137" s="20"/>
      <c r="E137" s="20"/>
      <c r="F137" s="20"/>
      <c r="G137" s="27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</row>
    <row r="138" spans="1:23" x14ac:dyDescent="0.2">
      <c r="A138" s="20"/>
      <c r="B138" s="20"/>
      <c r="C138" s="20"/>
      <c r="D138" s="20"/>
      <c r="E138" s="20"/>
      <c r="F138" s="20"/>
      <c r="G138" s="27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</row>
    <row r="139" spans="1:23" x14ac:dyDescent="0.2">
      <c r="A139" s="20"/>
      <c r="B139" s="20"/>
      <c r="C139" s="20"/>
      <c r="D139" s="20"/>
      <c r="E139" s="20"/>
      <c r="F139" s="20"/>
      <c r="G139" s="27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</row>
    <row r="140" spans="1:23" x14ac:dyDescent="0.2">
      <c r="A140" s="20"/>
      <c r="B140" s="20"/>
      <c r="C140" s="20"/>
      <c r="D140" s="20"/>
      <c r="E140" s="20"/>
      <c r="F140" s="20"/>
      <c r="G140" s="27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</row>
    <row r="141" spans="1:23" x14ac:dyDescent="0.2">
      <c r="A141" s="20"/>
      <c r="B141" s="20"/>
      <c r="C141" s="20"/>
      <c r="D141" s="20"/>
      <c r="E141" s="20"/>
      <c r="F141" s="20"/>
      <c r="G141" s="27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</row>
    <row r="142" spans="1:23" x14ac:dyDescent="0.2">
      <c r="A142" s="20"/>
      <c r="B142" s="20"/>
      <c r="C142" s="20"/>
      <c r="D142" s="20"/>
      <c r="E142" s="20"/>
      <c r="F142" s="20"/>
      <c r="G142" s="27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</row>
    <row r="143" spans="1:23" x14ac:dyDescent="0.2">
      <c r="A143" s="20"/>
      <c r="B143" s="20"/>
      <c r="C143" s="20"/>
      <c r="D143" s="20"/>
      <c r="E143" s="20"/>
      <c r="F143" s="20"/>
      <c r="G143" s="27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</row>
    <row r="144" spans="1:23" x14ac:dyDescent="0.2">
      <c r="A144" s="20"/>
      <c r="B144" s="20"/>
      <c r="C144" s="20"/>
      <c r="D144" s="20"/>
      <c r="E144" s="20"/>
      <c r="F144" s="20"/>
      <c r="G144" s="27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</row>
    <row r="145" spans="1:23" x14ac:dyDescent="0.2">
      <c r="A145" s="20"/>
      <c r="B145" s="20"/>
      <c r="C145" s="20"/>
      <c r="D145" s="20"/>
      <c r="E145" s="20"/>
      <c r="F145" s="20"/>
      <c r="G145" s="27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</row>
    <row r="146" spans="1:23" x14ac:dyDescent="0.2">
      <c r="A146" s="20"/>
      <c r="B146" s="20"/>
      <c r="C146" s="20"/>
      <c r="D146" s="20"/>
      <c r="E146" s="20"/>
      <c r="F146" s="20"/>
      <c r="G146" s="27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</row>
    <row r="147" spans="1:23" x14ac:dyDescent="0.2">
      <c r="A147" s="20"/>
      <c r="B147" s="20"/>
      <c r="C147" s="20"/>
      <c r="D147" s="20"/>
      <c r="E147" s="20"/>
      <c r="F147" s="20"/>
      <c r="G147" s="27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</row>
    <row r="148" spans="1:23" x14ac:dyDescent="0.2">
      <c r="A148" s="20"/>
      <c r="B148" s="20"/>
      <c r="C148" s="20"/>
      <c r="D148" s="20"/>
      <c r="E148" s="20"/>
      <c r="F148" s="20"/>
      <c r="G148" s="27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</row>
    <row r="149" spans="1:23" x14ac:dyDescent="0.2">
      <c r="A149" s="20"/>
      <c r="B149" s="20"/>
      <c r="C149" s="20"/>
      <c r="D149" s="20"/>
      <c r="E149" s="20"/>
      <c r="F149" s="20"/>
      <c r="G149" s="27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</row>
    <row r="150" spans="1:23" x14ac:dyDescent="0.2">
      <c r="A150" s="20"/>
      <c r="B150" s="20"/>
      <c r="C150" s="20"/>
      <c r="D150" s="20"/>
      <c r="E150" s="20"/>
      <c r="F150" s="20"/>
      <c r="G150" s="27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</row>
    <row r="151" spans="1:23" x14ac:dyDescent="0.2">
      <c r="A151" s="20"/>
      <c r="B151" s="20"/>
      <c r="C151" s="20"/>
      <c r="D151" s="20"/>
      <c r="E151" s="20"/>
      <c r="F151" s="20"/>
      <c r="G151" s="27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</row>
    <row r="152" spans="1:23" x14ac:dyDescent="0.2">
      <c r="A152" s="20"/>
      <c r="B152" s="20"/>
      <c r="C152" s="20"/>
      <c r="D152" s="20"/>
      <c r="E152" s="20"/>
      <c r="F152" s="20"/>
      <c r="G152" s="27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</row>
    <row r="153" spans="1:23" x14ac:dyDescent="0.2">
      <c r="A153" s="20"/>
      <c r="B153" s="20"/>
      <c r="C153" s="20"/>
      <c r="D153" s="20"/>
      <c r="E153" s="20"/>
      <c r="F153" s="20"/>
      <c r="G153" s="27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</row>
    <row r="154" spans="1:23" x14ac:dyDescent="0.2">
      <c r="A154" s="20"/>
      <c r="B154" s="20"/>
      <c r="C154" s="20"/>
      <c r="D154" s="20"/>
      <c r="E154" s="20"/>
      <c r="F154" s="20"/>
      <c r="G154" s="27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</row>
    <row r="155" spans="1:23" x14ac:dyDescent="0.2">
      <c r="A155" s="20"/>
      <c r="B155" s="20"/>
      <c r="C155" s="20"/>
      <c r="D155" s="20"/>
      <c r="E155" s="20"/>
      <c r="F155" s="20"/>
      <c r="G155" s="27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</row>
    <row r="156" spans="1:23" x14ac:dyDescent="0.2">
      <c r="A156" s="20"/>
      <c r="B156" s="20"/>
      <c r="C156" s="20"/>
      <c r="D156" s="20"/>
      <c r="E156" s="20"/>
      <c r="F156" s="20"/>
      <c r="G156" s="27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</row>
    <row r="157" spans="1:23" x14ac:dyDescent="0.2">
      <c r="A157" s="20"/>
      <c r="B157" s="20"/>
      <c r="C157" s="20"/>
      <c r="D157" s="20"/>
      <c r="E157" s="20"/>
      <c r="F157" s="20"/>
      <c r="G157" s="27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</row>
    <row r="158" spans="1:23" x14ac:dyDescent="0.2">
      <c r="A158" s="20"/>
      <c r="B158" s="20"/>
      <c r="C158" s="20"/>
      <c r="D158" s="20"/>
      <c r="E158" s="20"/>
      <c r="F158" s="20"/>
      <c r="G158" s="27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</row>
    <row r="159" spans="1:23" x14ac:dyDescent="0.2">
      <c r="A159" s="20"/>
      <c r="B159" s="20"/>
      <c r="C159" s="20"/>
      <c r="D159" s="20"/>
      <c r="E159" s="20"/>
      <c r="F159" s="20"/>
      <c r="G159" s="27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</row>
    <row r="160" spans="1:23" x14ac:dyDescent="0.2">
      <c r="A160" s="20"/>
      <c r="B160" s="20"/>
      <c r="C160" s="20"/>
      <c r="D160" s="20"/>
      <c r="E160" s="20"/>
      <c r="F160" s="20"/>
      <c r="G160" s="27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</row>
    <row r="161" spans="1:23" x14ac:dyDescent="0.2">
      <c r="A161" s="20"/>
      <c r="B161" s="20"/>
      <c r="C161" s="20"/>
      <c r="D161" s="20"/>
      <c r="E161" s="20"/>
      <c r="F161" s="20"/>
      <c r="G161" s="27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</row>
    <row r="162" spans="1:23" x14ac:dyDescent="0.2">
      <c r="A162" s="20"/>
      <c r="B162" s="20"/>
      <c r="C162" s="20"/>
      <c r="D162" s="20"/>
      <c r="E162" s="20"/>
      <c r="F162" s="20"/>
      <c r="G162" s="27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</row>
    <row r="163" spans="1:23" x14ac:dyDescent="0.2">
      <c r="A163" s="20"/>
      <c r="B163" s="20"/>
      <c r="C163" s="20"/>
      <c r="D163" s="20"/>
      <c r="E163" s="20"/>
      <c r="F163" s="20"/>
      <c r="G163" s="27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</row>
    <row r="164" spans="1:23" x14ac:dyDescent="0.2">
      <c r="A164" s="20"/>
      <c r="B164" s="20"/>
      <c r="C164" s="20"/>
      <c r="D164" s="20"/>
      <c r="E164" s="20"/>
      <c r="F164" s="20"/>
      <c r="G164" s="27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</row>
    <row r="165" spans="1:23" x14ac:dyDescent="0.2">
      <c r="A165" s="20"/>
      <c r="B165" s="20"/>
      <c r="C165" s="20"/>
      <c r="D165" s="20"/>
      <c r="E165" s="20"/>
      <c r="F165" s="20"/>
      <c r="G165" s="27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</row>
    <row r="166" spans="1:23" x14ac:dyDescent="0.2">
      <c r="A166" s="20"/>
      <c r="B166" s="20"/>
      <c r="C166" s="20"/>
      <c r="D166" s="20"/>
      <c r="E166" s="20"/>
      <c r="F166" s="20"/>
      <c r="G166" s="27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</row>
    <row r="167" spans="1:23" x14ac:dyDescent="0.2">
      <c r="A167" s="20"/>
      <c r="B167" s="20"/>
      <c r="C167" s="20"/>
      <c r="D167" s="20"/>
      <c r="E167" s="20"/>
      <c r="F167" s="20"/>
      <c r="G167" s="27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</row>
    <row r="168" spans="1:23" x14ac:dyDescent="0.2">
      <c r="A168" s="20"/>
      <c r="B168" s="20"/>
      <c r="C168" s="20"/>
      <c r="D168" s="20"/>
      <c r="E168" s="20"/>
      <c r="F168" s="20"/>
      <c r="G168" s="27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</row>
    <row r="169" spans="1:23" x14ac:dyDescent="0.2">
      <c r="A169" s="20"/>
      <c r="B169" s="20"/>
      <c r="C169" s="20"/>
      <c r="D169" s="20"/>
      <c r="E169" s="20"/>
      <c r="F169" s="20"/>
      <c r="G169" s="27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</row>
    <row r="170" spans="1:23" x14ac:dyDescent="0.2">
      <c r="A170" s="20"/>
      <c r="B170" s="20"/>
      <c r="C170" s="20"/>
      <c r="D170" s="20"/>
      <c r="E170" s="20"/>
      <c r="F170" s="20"/>
      <c r="G170" s="27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</row>
    <row r="171" spans="1:23" x14ac:dyDescent="0.2">
      <c r="A171" s="20"/>
      <c r="B171" s="20"/>
      <c r="C171" s="20"/>
      <c r="D171" s="20"/>
      <c r="E171" s="20"/>
      <c r="F171" s="20"/>
      <c r="G171" s="27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</row>
    <row r="172" spans="1:23" x14ac:dyDescent="0.2">
      <c r="A172" s="20"/>
      <c r="B172" s="20"/>
      <c r="C172" s="20"/>
      <c r="D172" s="20"/>
      <c r="E172" s="20"/>
      <c r="F172" s="20"/>
      <c r="G172" s="27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</row>
    <row r="173" spans="1:23" x14ac:dyDescent="0.2">
      <c r="A173" s="20"/>
      <c r="B173" s="20"/>
      <c r="C173" s="20"/>
      <c r="D173" s="20"/>
      <c r="E173" s="20"/>
      <c r="F173" s="20"/>
      <c r="G173" s="27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</row>
    <row r="174" spans="1:23" x14ac:dyDescent="0.2">
      <c r="A174" s="20"/>
      <c r="B174" s="20"/>
      <c r="C174" s="20"/>
      <c r="D174" s="20"/>
      <c r="E174" s="20"/>
      <c r="F174" s="20"/>
      <c r="G174" s="27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</row>
    <row r="175" spans="1:23" x14ac:dyDescent="0.2">
      <c r="A175" s="20"/>
      <c r="B175" s="20"/>
      <c r="C175" s="20"/>
      <c r="D175" s="20"/>
      <c r="E175" s="20"/>
      <c r="F175" s="20"/>
      <c r="G175" s="27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</row>
    <row r="176" spans="1:23" x14ac:dyDescent="0.2">
      <c r="A176" s="20"/>
      <c r="B176" s="20"/>
      <c r="C176" s="20"/>
      <c r="D176" s="20"/>
      <c r="E176" s="20"/>
      <c r="F176" s="20"/>
      <c r="G176" s="27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</row>
    <row r="177" spans="1:23" x14ac:dyDescent="0.2">
      <c r="A177" s="20"/>
      <c r="B177" s="20"/>
      <c r="C177" s="20"/>
      <c r="D177" s="20"/>
      <c r="E177" s="20"/>
      <c r="F177" s="20"/>
      <c r="G177" s="27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</row>
    <row r="178" spans="1:23" x14ac:dyDescent="0.2">
      <c r="A178" s="20"/>
      <c r="B178" s="20"/>
      <c r="C178" s="20"/>
      <c r="D178" s="20"/>
      <c r="E178" s="20"/>
      <c r="F178" s="20"/>
      <c r="G178" s="27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</row>
    <row r="179" spans="1:23" x14ac:dyDescent="0.2">
      <c r="A179" s="20"/>
      <c r="B179" s="20"/>
      <c r="C179" s="20"/>
      <c r="D179" s="20"/>
      <c r="E179" s="20"/>
      <c r="F179" s="20"/>
      <c r="G179" s="27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</row>
    <row r="180" spans="1:23" x14ac:dyDescent="0.2">
      <c r="A180" s="20"/>
      <c r="B180" s="20"/>
      <c r="C180" s="20"/>
      <c r="D180" s="20"/>
      <c r="E180" s="20"/>
      <c r="F180" s="20"/>
      <c r="G180" s="27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</row>
    <row r="181" spans="1:23" x14ac:dyDescent="0.2">
      <c r="A181" s="20"/>
      <c r="B181" s="20"/>
      <c r="C181" s="20"/>
      <c r="D181" s="20"/>
      <c r="E181" s="20"/>
      <c r="F181" s="20"/>
      <c r="G181" s="27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</row>
    <row r="182" spans="1:23" x14ac:dyDescent="0.2">
      <c r="A182" s="20"/>
      <c r="B182" s="20"/>
      <c r="C182" s="20"/>
      <c r="D182" s="20"/>
      <c r="E182" s="20"/>
      <c r="F182" s="20"/>
      <c r="G182" s="27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</row>
    <row r="183" spans="1:23" x14ac:dyDescent="0.2">
      <c r="A183" s="20"/>
      <c r="B183" s="20"/>
      <c r="C183" s="20"/>
      <c r="D183" s="20"/>
      <c r="E183" s="20"/>
      <c r="F183" s="20"/>
      <c r="G183" s="27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</row>
    <row r="184" spans="1:23" x14ac:dyDescent="0.2">
      <c r="A184" s="20"/>
      <c r="B184" s="20"/>
      <c r="C184" s="20"/>
      <c r="D184" s="20"/>
      <c r="E184" s="20"/>
      <c r="F184" s="20"/>
      <c r="G184" s="27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</row>
    <row r="185" spans="1:23" x14ac:dyDescent="0.2">
      <c r="A185" s="20"/>
      <c r="B185" s="20"/>
      <c r="C185" s="20"/>
      <c r="D185" s="20"/>
      <c r="E185" s="20"/>
      <c r="F185" s="20"/>
      <c r="G185" s="27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</row>
    <row r="186" spans="1:23" x14ac:dyDescent="0.2">
      <c r="A186" s="20"/>
      <c r="B186" s="20"/>
      <c r="C186" s="20"/>
      <c r="D186" s="20"/>
      <c r="E186" s="20"/>
      <c r="F186" s="20"/>
      <c r="G186" s="27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</row>
    <row r="187" spans="1:23" x14ac:dyDescent="0.2">
      <c r="A187" s="20"/>
      <c r="B187" s="20"/>
      <c r="C187" s="20"/>
      <c r="D187" s="20"/>
      <c r="E187" s="20"/>
      <c r="F187" s="20"/>
      <c r="G187" s="27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</row>
    <row r="188" spans="1:23" x14ac:dyDescent="0.2">
      <c r="A188" s="20"/>
      <c r="B188" s="20"/>
      <c r="C188" s="20"/>
      <c r="D188" s="20"/>
      <c r="E188" s="20"/>
      <c r="F188" s="20"/>
      <c r="G188" s="27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</row>
    <row r="189" spans="1:23" x14ac:dyDescent="0.2">
      <c r="A189" s="20"/>
      <c r="B189" s="20"/>
      <c r="C189" s="20"/>
      <c r="D189" s="20"/>
      <c r="E189" s="20"/>
      <c r="F189" s="20"/>
      <c r="G189" s="27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</row>
    <row r="190" spans="1:23" x14ac:dyDescent="0.2">
      <c r="A190" s="20"/>
      <c r="B190" s="20"/>
      <c r="C190" s="20"/>
      <c r="D190" s="20"/>
      <c r="E190" s="20"/>
      <c r="F190" s="20"/>
      <c r="G190" s="27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</row>
    <row r="191" spans="1:23" x14ac:dyDescent="0.2">
      <c r="A191" s="20"/>
      <c r="B191" s="20"/>
      <c r="C191" s="20"/>
      <c r="D191" s="20"/>
      <c r="E191" s="20"/>
      <c r="F191" s="20"/>
      <c r="G191" s="27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</row>
    <row r="192" spans="1:23" x14ac:dyDescent="0.2">
      <c r="A192" s="20"/>
      <c r="B192" s="20"/>
      <c r="C192" s="20"/>
      <c r="D192" s="20"/>
      <c r="E192" s="20"/>
      <c r="F192" s="20"/>
      <c r="G192" s="27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</row>
    <row r="193" spans="1:23" x14ac:dyDescent="0.2">
      <c r="A193" s="20"/>
      <c r="B193" s="20"/>
      <c r="C193" s="20"/>
      <c r="D193" s="20"/>
      <c r="E193" s="20"/>
      <c r="F193" s="20"/>
      <c r="G193" s="27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</row>
    <row r="194" spans="1:23" x14ac:dyDescent="0.2">
      <c r="A194" s="20"/>
      <c r="B194" s="20"/>
      <c r="C194" s="20"/>
      <c r="D194" s="20"/>
      <c r="E194" s="20"/>
      <c r="F194" s="20"/>
      <c r="G194" s="27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</row>
    <row r="195" spans="1:23" x14ac:dyDescent="0.2">
      <c r="A195" s="20"/>
      <c r="B195" s="20"/>
      <c r="C195" s="20"/>
      <c r="D195" s="20"/>
      <c r="E195" s="20"/>
      <c r="F195" s="20"/>
      <c r="G195" s="27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</row>
    <row r="196" spans="1:23" x14ac:dyDescent="0.2">
      <c r="A196" s="20"/>
      <c r="B196" s="20"/>
      <c r="C196" s="20"/>
      <c r="D196" s="20"/>
      <c r="E196" s="20"/>
      <c r="F196" s="20"/>
      <c r="G196" s="27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</row>
    <row r="197" spans="1:23" x14ac:dyDescent="0.2">
      <c r="A197" s="20"/>
      <c r="B197" s="20"/>
      <c r="C197" s="20"/>
      <c r="D197" s="20"/>
      <c r="E197" s="20"/>
      <c r="F197" s="20"/>
      <c r="G197" s="27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</row>
    <row r="198" spans="1:23" x14ac:dyDescent="0.2">
      <c r="A198" s="20"/>
      <c r="B198" s="20"/>
      <c r="C198" s="20"/>
      <c r="D198" s="20"/>
      <c r="E198" s="20"/>
      <c r="F198" s="20"/>
      <c r="G198" s="27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</row>
    <row r="199" spans="1:23" x14ac:dyDescent="0.2">
      <c r="A199" s="20"/>
      <c r="B199" s="20"/>
      <c r="C199" s="20"/>
      <c r="D199" s="20"/>
      <c r="E199" s="20"/>
      <c r="F199" s="20"/>
      <c r="G199" s="27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</row>
    <row r="200" spans="1:23" x14ac:dyDescent="0.2">
      <c r="A200" s="20"/>
      <c r="B200" s="20"/>
      <c r="C200" s="20"/>
      <c r="D200" s="20"/>
      <c r="E200" s="20"/>
      <c r="F200" s="20"/>
      <c r="G200" s="27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</row>
    <row r="201" spans="1:23" x14ac:dyDescent="0.2">
      <c r="A201" s="20"/>
      <c r="B201" s="20"/>
      <c r="C201" s="20"/>
      <c r="D201" s="20"/>
      <c r="E201" s="20"/>
      <c r="F201" s="20"/>
      <c r="G201" s="27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</row>
    <row r="202" spans="1:23" x14ac:dyDescent="0.2">
      <c r="A202" s="20"/>
      <c r="B202" s="20"/>
      <c r="C202" s="20"/>
      <c r="D202" s="20"/>
      <c r="E202" s="20"/>
      <c r="F202" s="20"/>
      <c r="G202" s="27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</row>
    <row r="203" spans="1:23" x14ac:dyDescent="0.2">
      <c r="A203" s="20"/>
      <c r="B203" s="20"/>
      <c r="C203" s="20"/>
      <c r="D203" s="20"/>
      <c r="E203" s="20"/>
      <c r="F203" s="20"/>
      <c r="G203" s="27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</row>
    <row r="204" spans="1:23" x14ac:dyDescent="0.2">
      <c r="A204" s="20"/>
      <c r="B204" s="20"/>
      <c r="C204" s="20"/>
      <c r="D204" s="20"/>
      <c r="E204" s="20"/>
      <c r="F204" s="20"/>
      <c r="G204" s="27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</row>
    <row r="205" spans="1:23" x14ac:dyDescent="0.2">
      <c r="A205" s="20"/>
      <c r="B205" s="20"/>
      <c r="C205" s="20"/>
      <c r="D205" s="20"/>
      <c r="E205" s="20"/>
      <c r="F205" s="20"/>
      <c r="G205" s="27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</row>
    <row r="206" spans="1:23" x14ac:dyDescent="0.2">
      <c r="A206" s="20"/>
      <c r="B206" s="20"/>
      <c r="C206" s="20"/>
      <c r="D206" s="20"/>
      <c r="E206" s="20"/>
      <c r="F206" s="20"/>
      <c r="G206" s="27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</row>
    <row r="207" spans="1:23" x14ac:dyDescent="0.2">
      <c r="A207" s="20"/>
      <c r="B207" s="20"/>
      <c r="C207" s="20"/>
      <c r="D207" s="20"/>
      <c r="E207" s="20"/>
      <c r="F207" s="20"/>
      <c r="G207" s="27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</row>
    <row r="208" spans="1:23" x14ac:dyDescent="0.2">
      <c r="A208" s="20"/>
      <c r="B208" s="20"/>
      <c r="C208" s="20"/>
      <c r="D208" s="20"/>
      <c r="E208" s="20"/>
      <c r="F208" s="20"/>
      <c r="G208" s="27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</row>
    <row r="209" spans="1:23" x14ac:dyDescent="0.2">
      <c r="A209" s="20"/>
      <c r="B209" s="20"/>
      <c r="C209" s="20"/>
      <c r="D209" s="20"/>
      <c r="E209" s="20"/>
      <c r="F209" s="20"/>
      <c r="G209" s="27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</row>
    <row r="210" spans="1:23" x14ac:dyDescent="0.2">
      <c r="A210" s="20"/>
      <c r="B210" s="20"/>
      <c r="C210" s="20"/>
      <c r="D210" s="20"/>
      <c r="E210" s="20"/>
      <c r="F210" s="20"/>
      <c r="G210" s="27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</row>
    <row r="211" spans="1:23" x14ac:dyDescent="0.2">
      <c r="A211" s="20"/>
      <c r="B211" s="20"/>
      <c r="C211" s="20"/>
      <c r="D211" s="20"/>
      <c r="E211" s="20"/>
      <c r="F211" s="20"/>
      <c r="G211" s="27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</row>
    <row r="212" spans="1:23" x14ac:dyDescent="0.2">
      <c r="A212" s="20"/>
      <c r="B212" s="20"/>
      <c r="C212" s="20"/>
      <c r="D212" s="20"/>
      <c r="E212" s="20"/>
      <c r="F212" s="20"/>
      <c r="G212" s="27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</row>
    <row r="213" spans="1:23" x14ac:dyDescent="0.2">
      <c r="A213" s="20"/>
      <c r="B213" s="20"/>
      <c r="C213" s="20"/>
      <c r="D213" s="20"/>
      <c r="E213" s="20"/>
      <c r="F213" s="20"/>
      <c r="G213" s="27"/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</row>
    <row r="214" spans="1:23" x14ac:dyDescent="0.2">
      <c r="A214" s="20"/>
      <c r="B214" s="20"/>
      <c r="C214" s="20"/>
      <c r="D214" s="20"/>
      <c r="E214" s="20"/>
      <c r="F214" s="20"/>
      <c r="G214" s="27"/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</row>
    <row r="215" spans="1:23" x14ac:dyDescent="0.2">
      <c r="A215" s="20"/>
      <c r="B215" s="20"/>
      <c r="C215" s="20"/>
      <c r="D215" s="20"/>
      <c r="E215" s="20"/>
      <c r="F215" s="20"/>
      <c r="G215" s="27"/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</row>
    <row r="216" spans="1:23" x14ac:dyDescent="0.2">
      <c r="A216" s="20"/>
      <c r="B216" s="20"/>
      <c r="C216" s="20"/>
      <c r="D216" s="20"/>
      <c r="E216" s="20"/>
      <c r="F216" s="20"/>
      <c r="G216" s="27"/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</row>
    <row r="217" spans="1:23" x14ac:dyDescent="0.2">
      <c r="A217" s="20"/>
      <c r="B217" s="20"/>
      <c r="C217" s="20"/>
      <c r="D217" s="20"/>
      <c r="E217" s="20"/>
      <c r="F217" s="20"/>
      <c r="G217" s="27"/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</row>
    <row r="218" spans="1:23" x14ac:dyDescent="0.2">
      <c r="A218" s="20"/>
      <c r="B218" s="20"/>
      <c r="C218" s="20"/>
      <c r="D218" s="20"/>
      <c r="E218" s="20"/>
      <c r="F218" s="20"/>
      <c r="G218" s="27"/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</row>
    <row r="219" spans="1:23" x14ac:dyDescent="0.2">
      <c r="A219" s="20"/>
      <c r="B219" s="20"/>
      <c r="C219" s="20"/>
      <c r="D219" s="20"/>
      <c r="E219" s="20"/>
      <c r="F219" s="20"/>
      <c r="G219" s="27"/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</row>
    <row r="220" spans="1:23" x14ac:dyDescent="0.2">
      <c r="A220" s="20"/>
      <c r="B220" s="20"/>
      <c r="C220" s="20"/>
      <c r="D220" s="20"/>
      <c r="E220" s="20"/>
      <c r="F220" s="20"/>
      <c r="G220" s="27"/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</row>
    <row r="221" spans="1:23" x14ac:dyDescent="0.2">
      <c r="A221" s="20"/>
      <c r="B221" s="20"/>
      <c r="C221" s="20"/>
      <c r="D221" s="20"/>
      <c r="E221" s="20"/>
      <c r="F221" s="20"/>
      <c r="G221" s="27"/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</row>
    <row r="222" spans="1:23" x14ac:dyDescent="0.2">
      <c r="A222" s="20"/>
      <c r="B222" s="20"/>
      <c r="C222" s="20"/>
      <c r="D222" s="20"/>
      <c r="E222" s="20"/>
      <c r="F222" s="20"/>
      <c r="G222" s="27"/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</row>
    <row r="223" spans="1:23" x14ac:dyDescent="0.2">
      <c r="A223" s="20"/>
      <c r="B223" s="20"/>
      <c r="C223" s="20"/>
      <c r="D223" s="20"/>
      <c r="E223" s="20"/>
      <c r="F223" s="20"/>
      <c r="G223" s="27"/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</row>
    <row r="224" spans="1:23" x14ac:dyDescent="0.2">
      <c r="A224" s="20"/>
      <c r="B224" s="20"/>
      <c r="C224" s="20"/>
      <c r="D224" s="20"/>
      <c r="E224" s="20"/>
      <c r="F224" s="20"/>
      <c r="G224" s="27"/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</row>
    <row r="225" spans="1:23" x14ac:dyDescent="0.2">
      <c r="A225" s="20"/>
      <c r="B225" s="20"/>
      <c r="C225" s="20"/>
      <c r="D225" s="20"/>
      <c r="E225" s="20"/>
      <c r="F225" s="20"/>
      <c r="G225" s="27"/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</row>
    <row r="226" spans="1:23" x14ac:dyDescent="0.2">
      <c r="A226" s="20"/>
      <c r="B226" s="20"/>
      <c r="C226" s="20"/>
      <c r="D226" s="20"/>
      <c r="E226" s="20"/>
      <c r="F226" s="20"/>
      <c r="G226" s="27"/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</row>
    <row r="227" spans="1:23" x14ac:dyDescent="0.2">
      <c r="A227" s="20"/>
      <c r="B227" s="20"/>
      <c r="C227" s="20"/>
      <c r="D227" s="20"/>
      <c r="E227" s="20"/>
      <c r="F227" s="20"/>
      <c r="G227" s="27"/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</row>
    <row r="228" spans="1:23" x14ac:dyDescent="0.2">
      <c r="A228" s="20"/>
      <c r="B228" s="20"/>
      <c r="C228" s="20"/>
      <c r="D228" s="20"/>
      <c r="E228" s="20"/>
      <c r="F228" s="20"/>
      <c r="G228" s="27"/>
      <c r="H228" s="20"/>
      <c r="I228" s="20"/>
      <c r="J228" s="20"/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</row>
    <row r="229" spans="1:23" x14ac:dyDescent="0.2">
      <c r="A229" s="20"/>
      <c r="B229" s="20"/>
      <c r="C229" s="20"/>
      <c r="D229" s="20"/>
      <c r="E229" s="20"/>
      <c r="F229" s="20"/>
      <c r="G229" s="27"/>
      <c r="H229" s="20"/>
      <c r="I229" s="20"/>
      <c r="J229" s="20"/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</row>
    <row r="230" spans="1:23" x14ac:dyDescent="0.2">
      <c r="A230" s="20"/>
      <c r="B230" s="20"/>
      <c r="C230" s="20"/>
      <c r="D230" s="20"/>
      <c r="E230" s="20"/>
      <c r="F230" s="20"/>
      <c r="G230" s="27"/>
      <c r="H230" s="20"/>
      <c r="I230" s="20"/>
      <c r="J230" s="20"/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</row>
    <row r="231" spans="1:23" x14ac:dyDescent="0.2">
      <c r="A231" s="20"/>
      <c r="B231" s="20"/>
      <c r="C231" s="20"/>
      <c r="D231" s="20"/>
      <c r="E231" s="20"/>
      <c r="F231" s="20"/>
      <c r="G231" s="27"/>
      <c r="H231" s="20"/>
      <c r="I231" s="20"/>
      <c r="J231" s="20"/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</row>
    <row r="232" spans="1:23" x14ac:dyDescent="0.2">
      <c r="A232" s="20"/>
      <c r="B232" s="20"/>
      <c r="C232" s="20"/>
      <c r="D232" s="20"/>
      <c r="E232" s="20"/>
      <c r="F232" s="20"/>
      <c r="G232" s="27"/>
      <c r="H232" s="20"/>
      <c r="I232" s="20"/>
      <c r="J232" s="20"/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</row>
    <row r="233" spans="1:23" x14ac:dyDescent="0.2">
      <c r="A233" s="20"/>
      <c r="B233" s="20"/>
      <c r="C233" s="20"/>
      <c r="D233" s="20"/>
      <c r="E233" s="20"/>
      <c r="F233" s="20"/>
      <c r="G233" s="27"/>
      <c r="H233" s="20"/>
      <c r="I233" s="20"/>
      <c r="J233" s="20"/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</row>
    <row r="234" spans="1:23" x14ac:dyDescent="0.2">
      <c r="A234" s="20"/>
      <c r="B234" s="20"/>
      <c r="C234" s="20"/>
      <c r="D234" s="20"/>
      <c r="E234" s="20"/>
      <c r="F234" s="20"/>
      <c r="G234" s="27"/>
      <c r="H234" s="20"/>
      <c r="I234" s="20"/>
      <c r="J234" s="20"/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</row>
    <row r="235" spans="1:23" x14ac:dyDescent="0.2">
      <c r="A235" s="20"/>
      <c r="B235" s="20"/>
      <c r="C235" s="20"/>
      <c r="D235" s="20"/>
      <c r="E235" s="20"/>
      <c r="F235" s="20"/>
      <c r="G235" s="27"/>
      <c r="H235" s="20"/>
      <c r="I235" s="20"/>
      <c r="J235" s="20"/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</row>
  </sheetData>
  <autoFilter ref="A2:W44" xr:uid="{00000000-0009-0000-0000-000002000000}"/>
  <dataValidations count="1">
    <dataValidation type="list" allowBlank="1" showInputMessage="1" showErrorMessage="1" sqref="B3:B40" xr:uid="{521E7744-46A5-46B8-84B1-B53883A2AC09}">
      <formula1>"Buy,Sell,Deposit,Withdraw"</formula1>
    </dataValidation>
  </dataValidations>
  <pageMargins left="0.7" right="0.7" top="0.75" bottom="0.75" header="0" footer="0"/>
  <pageSetup orientation="landscape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9D98FA-BF85-4A39-B197-A718DCFD9AFE}">
  <sheetPr codeName="Sheet5"/>
  <dimension ref="B5:J21"/>
  <sheetViews>
    <sheetView zoomScale="145" zoomScaleNormal="145" workbookViewId="0">
      <selection activeCell="I10" sqref="I10"/>
    </sheetView>
  </sheetViews>
  <sheetFormatPr defaultRowHeight="12.75" x14ac:dyDescent="0.2"/>
  <cols>
    <col min="4" max="4" width="12" customWidth="1"/>
    <col min="10" max="10" width="13.42578125" customWidth="1"/>
  </cols>
  <sheetData>
    <row r="5" spans="2:10" x14ac:dyDescent="0.2">
      <c r="C5" t="s">
        <v>61</v>
      </c>
      <c r="D5" t="s">
        <v>79</v>
      </c>
      <c r="E5" t="s">
        <v>80</v>
      </c>
    </row>
    <row r="6" spans="2:10" x14ac:dyDescent="0.2">
      <c r="B6" s="14" t="s">
        <v>54</v>
      </c>
      <c r="C6">
        <v>1.1480000000000001E-2</v>
      </c>
      <c r="D6">
        <v>1.221419E-2</v>
      </c>
      <c r="J6" s="59"/>
    </row>
    <row r="7" spans="2:10" x14ac:dyDescent="0.2">
      <c r="B7" s="49" t="s">
        <v>34</v>
      </c>
      <c r="C7">
        <v>0.16279299999999999</v>
      </c>
      <c r="D7">
        <v>0.19206216000000001</v>
      </c>
      <c r="J7" s="59"/>
    </row>
    <row r="8" spans="2:10" x14ac:dyDescent="0.2">
      <c r="B8" s="49" t="s">
        <v>35</v>
      </c>
      <c r="C8">
        <v>0.14549999999999999</v>
      </c>
      <c r="J8" s="59"/>
    </row>
    <row r="9" spans="2:10" x14ac:dyDescent="0.2">
      <c r="B9" s="49" t="s">
        <v>36</v>
      </c>
      <c r="C9">
        <v>4.1468800000000003</v>
      </c>
      <c r="J9" s="59"/>
    </row>
    <row r="10" spans="2:10" x14ac:dyDescent="0.2">
      <c r="B10" s="49" t="s">
        <v>37</v>
      </c>
      <c r="C10">
        <v>141.71</v>
      </c>
      <c r="J10" s="59"/>
    </row>
    <row r="11" spans="2:10" x14ac:dyDescent="0.2">
      <c r="B11" s="49" t="s">
        <v>43</v>
      </c>
      <c r="E11">
        <v>69.8</v>
      </c>
      <c r="J11" s="59"/>
    </row>
    <row r="12" spans="2:10" x14ac:dyDescent="0.2">
      <c r="B12" s="49" t="s">
        <v>46</v>
      </c>
      <c r="C12">
        <v>10</v>
      </c>
      <c r="J12" s="59"/>
    </row>
    <row r="13" spans="2:10" x14ac:dyDescent="0.2">
      <c r="B13" s="14" t="s">
        <v>47</v>
      </c>
      <c r="C13">
        <v>0.6</v>
      </c>
      <c r="J13" s="59"/>
    </row>
    <row r="14" spans="2:10" x14ac:dyDescent="0.2">
      <c r="B14" s="14" t="s">
        <v>49</v>
      </c>
      <c r="C14">
        <v>200</v>
      </c>
      <c r="J14" s="59"/>
    </row>
    <row r="15" spans="2:10" x14ac:dyDescent="0.2">
      <c r="B15" s="14" t="s">
        <v>51</v>
      </c>
      <c r="E15">
        <v>9.8000000000000007</v>
      </c>
      <c r="J15" s="59"/>
    </row>
    <row r="20" spans="2:4" x14ac:dyDescent="0.2">
      <c r="B20" t="s">
        <v>98</v>
      </c>
      <c r="C20" t="s">
        <v>99</v>
      </c>
      <c r="D20" t="s">
        <v>100</v>
      </c>
    </row>
    <row r="21" spans="2:4" x14ac:dyDescent="0.2">
      <c r="B21" t="s">
        <v>98</v>
      </c>
      <c r="C21" t="s">
        <v>101</v>
      </c>
      <c r="D21" t="s">
        <v>102</v>
      </c>
    </row>
  </sheetData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251446F-5C53-44FE-A3DF-922702E8C6B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Monthly_Review</vt:lpstr>
      <vt:lpstr>Dashboard</vt:lpstr>
      <vt:lpstr>Position</vt:lpstr>
      <vt:lpstr>Portfolio_bk</vt:lpstr>
      <vt:lpstr>Order_History</vt:lpstr>
      <vt:lpstr>Sheet1</vt:lpstr>
      <vt:lpstr>Daily_Snapshot</vt:lpstr>
      <vt:lpstr>Catagory</vt:lpstr>
      <vt:lpstr>Order_History (2)</vt:lpstr>
      <vt:lpstr>storage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Thuong Dinh</dc:creator>
  <cp:lastModifiedBy>AD</cp:lastModifiedBy>
  <dcterms:created xsi:type="dcterms:W3CDTF">2021-12-16T23:36:30Z</dcterms:created>
  <dcterms:modified xsi:type="dcterms:W3CDTF">2025-09-06T11:00:41Z</dcterms:modified>
</cp:coreProperties>
</file>