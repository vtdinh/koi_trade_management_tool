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Stock\Quản lý đầu tư CK+Coin\QL_Coin_VBA by ChatGPT\"/>
    </mc:Choice>
  </mc:AlternateContent>
  <xr:revisionPtr revIDLastSave="0" documentId="13_ncr:1_{FE3521BF-E22F-4CA2-B3E0-29313C98CBBC}" xr6:coauthVersionLast="47" xr6:coauthVersionMax="47" xr10:uidLastSave="{00000000-0000-0000-0000-000000000000}"/>
  <bookViews>
    <workbookView xWindow="0" yWindow="165" windowWidth="19290" windowHeight="10575" tabRatio="787" activeTab="2" xr2:uid="{00000000-000D-0000-FFFF-FFFF00000000}"/>
  </bookViews>
  <sheets>
    <sheet name="Dashboard" sheetId="25" r:id="rId1"/>
    <sheet name="Monthly_Review" sheetId="17" state="hidden" r:id="rId2"/>
    <sheet name="Position" sheetId="31" r:id="rId3"/>
    <sheet name="Catagory" sheetId="34" r:id="rId4"/>
    <sheet name="Portfolio_bk" sheetId="16" state="hidden" r:id="rId5"/>
    <sheet name="Order_History" sheetId="18" r:id="rId6"/>
    <sheet name="Sheet1" sheetId="32" state="hidden" r:id="rId7"/>
    <sheet name="Daily_Snapshot" sheetId="27" r:id="rId8"/>
    <sheet name="Order_History (2)" sheetId="33" r:id="rId9"/>
    <sheet name="storage" sheetId="20" r:id="rId10"/>
  </sheets>
  <functionGroups builtInGroupCount="19"/>
  <definedNames>
    <definedName name="_xlnm._FilterDatabase" localSheetId="5" hidden="1">Order_History!$A$2:$W$19</definedName>
    <definedName name="_xlnm._FilterDatabase" localSheetId="8" hidden="1">'Order_History (2)'!$A$2:$W$44</definedName>
    <definedName name="_xlnm._FilterDatabase" localSheetId="4" hidden="1">Portfolio_bk!$A$8:$D$29</definedName>
    <definedName name="_xlnm._FilterDatabase" localSheetId="2" hidden="1">Position!$A$12:$D$15</definedName>
    <definedName name="Z_0BDD3F89_E0CB_4EA4_8A53_3AADAAB98DEF_.wvu.FilterData" localSheetId="5" hidden="1">Order_History!$A$2:$C$29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8" l="1"/>
  <c r="F15" i="18"/>
  <c r="F14" i="18"/>
  <c r="F13" i="18"/>
  <c r="F10" i="18"/>
  <c r="F9" i="18"/>
  <c r="F8" i="18"/>
  <c r="F7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<sst xmlns="http://schemas.openxmlformats.org/spreadsheetml/2006/main" count="458" uniqueCount="159">
  <si>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</si>
  <si>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</si>
  <si>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</si>
  <si>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</si>
  <si>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</si>
  <si>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</si>
  <si>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</si>
  <si>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</si>
  <si>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</si>
  <si>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</si>
  <si>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</si>
  <si>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</si>
  <si>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</si>
  <si>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</si>
  <si>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</si>
  <si>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</si>
  <si>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</si>
  <si>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</si>
  <si>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</si>
  <si>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</si>
  <si>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</si>
  <si>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</si>
  <si>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</si>
  <si>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</si>
  <si>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</si>
  <si>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</si>
  <si>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</si>
  <si>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</si>
  <si>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</si>
  <si>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</si>
  <si>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</si>
  <si>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</si>
  <si>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</si>
  <si>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</si>
  <si>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</si>
  <si>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</si>
  <si>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</si>
  <si>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</si>
  <si>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</si>
  <si>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</si>
  <si>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</si>
  <si>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</si>
  <si>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</si>
  <si>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</si>
  <si>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</si>
  <si>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</si>
  <si>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</si>
  <si>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</si>
  <si>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</si>
  <si>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</si>
  <si>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</si>
  <si>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</si>
  <si>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</si>
  <si>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</si>
  <si>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</si>
  <si>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</si>
  <si>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</si>
  <si>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</si>
  <si>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</si>
  <si>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</si>
  <si>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</si>
  <si>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</si>
  <si>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</si>
  <si>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</si>
  <si>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</si>
  <si>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</si>
  <si>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</si>
  <si>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</si>
  <si>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</si>
  <si>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</si>
  <si>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</si>
  <si>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</si>
  <si>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</si>
  <si>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</si>
  <si>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</si>
  <si>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</si>
  <si>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</si>
  <si>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</si>
  <si>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</si>
  <si>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</si>
  <si>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</si>
  <si>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</si>
  <si>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</si>
  <si>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</si>
  <si>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</si>
  <si>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</si>
  <si>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</si>
  <si>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</si>
  <si>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</si>
  <si>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</si>
  <si>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</si>
  <si>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</si>
  <si>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</si>
  <si>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</si>
  <si>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</si>
  <si>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</si>
  <si>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</si>
  <si>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</si>
  <si>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</si>
  <si>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</si>
  <si>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</si>
  <si>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</si>
  <si>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</si>
  <si>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</si>
  <si>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</si>
  <si>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</si>
  <si>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</si>
  <si>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</si>
  <si>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</si>
  <si>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</si>
  <si>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</si>
  <si>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</si>
  <si>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</si>
  <si>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</si>
  <si>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</si>
  <si>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</si>
  <si>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</si>
  <si>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</si>
  <si>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</si>
  <si>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</si>
  <si>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</si>
  <si>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</si>
  <si>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</si>
  <si>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</si>
  <si>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</si>
  <si>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</si>
  <si>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</si>
  <si>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</si>
  <si>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</si>
  <si>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</si>
  <si>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</si>
  <si>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</si>
  <si>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</si>
  <si>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</si>
  <si>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</si>
  <si>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</si>
  <si>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</si>
  <si>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Storage</t>
  </si>
  <si>
    <t>%PnL</t>
  </si>
  <si>
    <t>Until date</t>
  </si>
  <si>
    <t>(UTC+7)</t>
  </si>
  <si>
    <t>bybit</t>
  </si>
  <si>
    <t>Cash</t>
  </si>
  <si>
    <t>ETH: 4,010; SOL: 354</t>
  </si>
  <si>
    <t>ETH: 3,612</t>
  </si>
  <si>
    <t>ETH: 2,295</t>
  </si>
  <si>
    <t>From</t>
  </si>
  <si>
    <t>To</t>
  </si>
  <si>
    <t>Alt.TOP</t>
  </si>
  <si>
    <t>Alt.MID</t>
  </si>
  <si>
    <t>Alt.LOW</t>
  </si>
  <si>
    <t>XRP</t>
  </si>
  <si>
    <t>TRUMP</t>
  </si>
  <si>
    <t>TRUMP: 962; BTC: 1,233</t>
  </si>
  <si>
    <t>Buy Qty</t>
  </si>
  <si>
    <t>Available Qty</t>
  </si>
  <si>
    <t>Avg cost</t>
  </si>
  <si>
    <t>Available Balance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</si>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</sst>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3" fontId="2" fillId="0" borderId="6" xfId="0" applyNumberFormat="1" applyFon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4" fillId="0" borderId="6" xfId="0" applyNumberFormat="1" applyFont="1" applyBorder="1" applyAlignment="1">
      <alignment horizontal="right" vertical="center"/>
    </xf>
    <xf numFmtId="10" fontId="14" fillId="0" borderId="1" xfId="0" applyNumberFormat="1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  <xf numFmtId="3" fontId="7" fillId="0" borderId="5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0" xfId="0" applyNumberFormat="1" applyFont="1"/>
    <xf numFmtId="173" fontId="3" fillId="0" borderId="0" xfId="0" applyNumberFormat="1" applyFont="1" applyAlignment="1">
      <alignment horizontal="right"/>
    </xf>
    <xf numFmtId="173" fontId="11" fillId="0" borderId="0" xfId="0" applyNumberFormat="1" applyFont="1"/>
    <xf numFmtId="3" fontId="7" fillId="0" borderId="0" xfId="0" applyNumberFormat="1" applyFont="1"/>
    <xf numFmtId="3" fontId="21" fillId="0" borderId="0" xfId="0" applyNumberFormat="1" applyFont="1"/>
  </cellXfs>
  <cellStyles count="2">
    <cellStyle name="Normal" xfId="0" builtinId="0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1154855643044"/>
          <c:y val="0.14270833333333333"/>
          <c:w val="0.86733289588801399"/>
          <c:h val="0.69553887795275593"/>
        </c:manualLayout>
      </c:layout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3-1CE2-4905-8290-562325CBA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Cash/Coin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2DB-470C-A011-3513F7558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Deposite &amp; Withdraw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1154855643044"/>
          <c:y val="0.14270833333333333"/>
          <c:w val="0.86733289588801399"/>
          <c:h val="0.69553887795275593"/>
        </c:manualLayout>
      </c:layout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E5C-4AB4-889C-0D4277BB1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PnL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1154855643044"/>
          <c:y val="0.14270833333333333"/>
          <c:w val="0.86733289588801399"/>
          <c:h val="0.69553887795275593"/>
        </c:manualLayout>
      </c:layout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091-4768-9A10-DFE7B09D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C72-48E1-A359-817D28F1D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9AD-4FF2-A9DC-84E927A2C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tx>
            <c:v>Cash vs Coin</c:v>
          </c:tx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Position!$Z$1:$Z$2</c:f>
              <c:strCache>
                <c:ptCount val="2"/>
                <c:pt idx="0">
                  <c:v>Cash</c:v>
                </c:pt>
                <c:pt idx="1">
                  <c:v>Coin</c:v>
                </c:pt>
              </c:strCache>
            </c:strRef>
          </c:cat>
          <c:val>
            <c:numRef>
              <c:f>Position!$AA$1:$AA$2</c:f>
              <c:numCache>
                <c:formatCode>General</c:formatCode>
                <c:ptCount val="2"/>
                <c:pt idx="0">
                  <c:v>7340</c:v>
                </c:pt>
                <c:pt idx="1">
                  <c:v>2195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A04-4F9A-BA8C-44CABAD2E0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Position!$Z$60:$Z$63</c:f>
              <c:strCache>
                <c:ptCount val="4"/>
                <c:pt idx="0">
                  <c:v>BTC</c:v>
                </c:pt>
                <c:pt idx="1">
                  <c:v>Alt.TOP</c:v>
                </c:pt>
                <c:pt idx="2">
                  <c:v>Alt.MID</c:v>
                </c:pt>
                <c:pt idx="3">
                  <c:v>Alt.LOW</c:v>
                </c:pt>
              </c:strCache>
            </c:strRef>
          </c:cat>
          <c:val>
            <c:numRef>
              <c:f>Position!$AA$60:$AA$63</c:f>
              <c:numCache>
                <c:formatCode>#,##0</c:formatCode>
                <c:ptCount val="4"/>
                <c:pt idx="0">
                  <c:v>1233</c:v>
                </c:pt>
                <c:pt idx="1">
                  <c:v>0</c:v>
                </c:pt>
                <c:pt idx="2">
                  <c:v>0</c:v>
                </c:pt>
                <c:pt idx="3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C-4E30-BECF-305FC05451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Position!$Z$10:$Z$11</c:f>
              <c:numCache>
                <c:formatCode>General</c:formatCode>
                <c:ptCount val="2"/>
              </c:numCache>
            </c:numRef>
          </c:cat>
          <c:val>
            <c:numRef>
              <c:f>Position!$AA$10:$AA$11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122-454A-B2A8-C9AEE6CB9A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26333</xdr:colOff>
      <xdr:row>5</xdr:row>
      <xdr:rowOff>11426</xdr:rowOff>
    </xdr:from>
    <xdr:to>
      <xdr:col>7</xdr:col>
      <xdr:colOff>289092</xdr:colOff>
      <xdr:row>27</xdr:row>
      <xdr:rowOff>56095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00CC31-337E-2FC7-9AD0-FAC3030DA2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36635</xdr:colOff>
      <xdr:row>29</xdr:row>
      <xdr:rowOff>51288</xdr:rowOff>
    </xdr:from>
    <xdr:to>
      <xdr:col>7</xdr:col>
      <xdr:colOff>299394</xdr:colOff>
      <xdr:row>51</xdr:row>
      <xdr:rowOff>95956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E514A51-753E-4267-A7E2-D08273BC0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608134</xdr:colOff>
      <xdr:row>5</xdr:row>
      <xdr:rowOff>0</xdr:rowOff>
    </xdr:from>
    <xdr:to>
      <xdr:col>15</xdr:col>
      <xdr:colOff>306720</xdr:colOff>
      <xdr:row>27</xdr:row>
      <xdr:rowOff>44669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30FF9C2-A999-493C-9D62-35D30445A2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5</xdr:row>
      <xdr:rowOff>0</xdr:rowOff>
    </xdr:from>
    <xdr:to>
      <xdr:col>23</xdr:col>
      <xdr:colOff>306720</xdr:colOff>
      <xdr:row>27</xdr:row>
      <xdr:rowOff>44669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928A699-E66F-407F-836D-79B6F5DA1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21980</xdr:colOff>
      <xdr:row>29</xdr:row>
      <xdr:rowOff>7326</xdr:rowOff>
    </xdr:from>
    <xdr:to>
      <xdr:col>15</xdr:col>
      <xdr:colOff>328700</xdr:colOff>
      <xdr:row>51</xdr:row>
      <xdr:rowOff>51994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21B2876E-00FA-4C00-B3CE-1A6F1E814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306720</xdr:colOff>
      <xdr:row>51</xdr:row>
      <xdr:rowOff>44668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810C59C-3340-4602-8C02-DAFCFD1E6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0.69782</cdr:x>
      <cdr:y>0.04225</cdr:y>
    </cdr:from>
    <cdr:to>
      <cdr:x>0.97584</cdr:x>
      <cdr:y>0.09506</cdr:y>
    </cdr:to>
    <cdr:sp macro="" textlink="">
      <cdr:nvSpPr>
        <cdr:cNvPr id="17" name="MDD_Annotation_NAV">
          <a:extLst xmlns:a="http://schemas.openxmlformats.org/drawingml/2006/main">
            <a:ext uri="{FF2B5EF4-FFF2-40B4-BE49-F238E27FC236}">
              <a16:creationId xmlns:a16="http://schemas.microsoft.com/office/drawing/2014/main" id="{44656E3E-E77B-3B7A-9CD9-6D89E186D08C}"/>
            </a:ext>
          </a:extLst>
        </cdr:cNvPr>
        <cdr:cNvSpPr txBox="1"/>
      </cdr:nvSpPr>
      <cdr:spPr>
        <a:xfrm xmlns:a="http://schemas.openxmlformats.org/drawingml/2006/main">
          <a:off x="3187700" y="152400"/>
          <a:ext cx="1270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>
            <a:alpha val="75000"/>
          </a:srgbClr>
        </a:solidFill>
        <a:ln xmlns:a="http://schemas.openxmlformats.org/drawingml/2006/main">
          <a:solidFill>
            <a:srgbClr val="B4B4B4"/>
          </a:solidFill>
        </a:ln>
      </cdr:spPr>
      <cdr:txBody>
        <a:bodyPr xmlns:a="http://schemas.openxmlformats.org/drawingml/2006/main" vertOverflow="clip" vert="horz" lIns="38100" tIns="25400" rIns="38100" bIns="25400" rtlCol="0"/>
        <a:lstStyle xmlns:a="http://schemas.openxmlformats.org/drawingml/2006/main"/>
        <a:p xmlns:a="http://schemas.openxmlformats.org/drawingml/2006/main">
          <a:r>
            <a:rPr lang="en-US" sz="900" b="0" kern="1200"/>
            <a:t>Max Drawdown: -20%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219075</xdr:rowOff>
        </xdr:from>
        <xdr:to>
          <xdr:col>1</xdr:col>
          <xdr:colOff>390525</xdr:colOff>
          <xdr:row>3</xdr:row>
          <xdr:rowOff>666750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1057275</xdr:colOff>
          <xdr:row>14</xdr:row>
          <xdr:rowOff>95250</xdr:rowOff>
        </xdr:from>
        <xdr:to>
          <xdr:col>17</xdr:col>
          <xdr:colOff>390525</xdr:colOff>
          <xdr:row>16</xdr:row>
          <xdr:rowOff>161925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281761</xdr:colOff>
      <xdr:row>3</xdr:row>
      <xdr:rowOff>125747</xdr:rowOff>
    </xdr:from>
    <xdr:to>
      <xdr:col>6</xdr:col>
      <xdr:colOff>544343</xdr:colOff>
      <xdr:row>10</xdr:row>
      <xdr:rowOff>100481</xdr:rowOff>
    </xdr:to>
    <xdr:graphicFrame macro="">
      <xdr:nvGraphicFramePr>
        <xdr:cNvPr id="36893" name="Chart 36892">
          <a:extLst>
            <a:ext uri="{FF2B5EF4-FFF2-40B4-BE49-F238E27FC236}">
              <a16:creationId xmlns:a16="http://schemas.microsoft.com/office/drawing/2014/main" id="{68EF3EE0-8165-09E9-C83F-9F8C01BE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15397</xdr:colOff>
      <xdr:row>3</xdr:row>
      <xdr:rowOff>114546</xdr:rowOff>
    </xdr:from>
    <xdr:to>
      <xdr:col>9</xdr:col>
      <xdr:colOff>462688</xdr:colOff>
      <xdr:row>10</xdr:row>
      <xdr:rowOff>89280</xdr:rowOff>
    </xdr:to>
    <xdr:graphicFrame macro="">
      <xdr:nvGraphicFramePr>
        <xdr:cNvPr id="36901" name="Chart 36900">
          <a:extLst>
            <a:ext uri="{FF2B5EF4-FFF2-40B4-BE49-F238E27FC236}">
              <a16:creationId xmlns:a16="http://schemas.microsoft.com/office/drawing/2014/main" id="{596DF9A9-594A-48C7-B06D-B4A5FA696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412074</xdr:colOff>
      <xdr:row>3</xdr:row>
      <xdr:rowOff>116535</xdr:rowOff>
    </xdr:from>
    <xdr:to>
      <xdr:col>15</xdr:col>
      <xdr:colOff>87172</xdr:colOff>
      <xdr:row>10</xdr:row>
      <xdr:rowOff>91269</xdr:rowOff>
    </xdr:to>
    <xdr:graphicFrame macro="">
      <xdr:nvGraphicFramePr>
        <xdr:cNvPr id="36902" name="Chart 36901">
          <a:extLst>
            <a:ext uri="{FF2B5EF4-FFF2-40B4-BE49-F238E27FC236}">
              <a16:creationId xmlns:a16="http://schemas.microsoft.com/office/drawing/2014/main" id="{EFB30F11-8CB1-46B9-A6E5-F5359B689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4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4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0157-53FA-41B2-9100-018E86C45F9E}">
  <sheetPr codeName="Sheet4"/>
  <dimension ref="A2:J5"/>
  <sheetViews>
    <sheetView zoomScale="130" zoomScaleNormal="130" workbookViewId="0">
      <selection activeCell="Y38" sqref="Y38"/>
    </sheetView>
  </sheetViews>
  <sheetFormatPr defaultRowHeight="12.75" x14ac:dyDescent="0.2"/>
  <cols>
    <col min="1" max="1" width="7.42578125" customWidth="1"/>
    <col min="2" max="2" width="11.42578125" customWidth="1"/>
  </cols>
  <sheetData>
    <row r="2" spans="1:10" x14ac:dyDescent="0.2">
      <c r="A2" t="s">
        <v>146</v>
      </c>
      <c r="B2" s="78">
        <v>45870</v>
      </c>
      <c r="G2" s="57"/>
    </row>
    <row r="3" spans="1:10" x14ac:dyDescent="0.2">
      <c r="A3" t="s">
        <v>147</v>
      </c>
      <c r="B3" s="78">
        <v>45879</v>
      </c>
    </row>
    <row r="5" spans="1:10" x14ac:dyDescent="0.2">
      <c r="A5" s="64"/>
      <c r="C5" s="57"/>
      <c r="E5" s="42">
        <v>-0.2</v>
      </c>
      <c r="J5" s="6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13" sqref="F13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AA866"/>
  <sheetViews>
    <sheetView tabSelected="1" zoomScale="115" zoomScaleNormal="115" workbookViewId="0">
      <selection activeCell="K3" sqref="K3"/>
    </sheetView>
  </sheetViews>
  <sheetFormatPr defaultColWidth="14.42578125" defaultRowHeight="15" customHeight="1" x14ac:dyDescent="0.2"/>
  <cols>
    <col min="1" max="1" width="10" bestFit="1" customWidth="1"/>
    <col min="2" max="2" width="10.140625" bestFit="1" customWidth="1"/>
    <col min="3" max="3" width="8" bestFit="1" customWidth="1"/>
    <col min="4" max="4" width="7.7109375" bestFit="1" customWidth="1"/>
    <col min="5" max="5" width="11.85546875" bestFit="1" customWidth="1"/>
    <col min="6" max="6" width="5.5703125" bestFit="1" customWidth="1"/>
    <col min="7" max="7" width="10.140625" bestFit="1" customWidth="1"/>
    <col min="8" max="8" width="12.28515625" bestFit="1" customWidth="1"/>
    <col min="9" max="9" width="12" bestFit="1" customWidth="1"/>
    <col min="10" max="10" width="11.5703125" bestFit="1" customWidth="1"/>
    <col min="11" max="11" width="15.7109375" bestFit="1" customWidth="1"/>
    <col min="12" max="12" width="6.140625" bestFit="1" customWidth="1"/>
    <col min="13" max="13" width="8.85546875" bestFit="1" customWidth="1"/>
    <col min="14" max="14" width="7.42578125" bestFit="1" customWidth="1"/>
    <col min="15" max="15" width="8" bestFit="1" customWidth="1"/>
    <col min="16" max="16" width="8.140625" style="33" bestFit="1" customWidth="1"/>
    <col min="17" max="17" width="25.5703125" customWidth="1"/>
    <col min="18" max="18" width="11.5703125" customWidth="1"/>
    <col min="26" max="26" width="8.140625" bestFit="1" customWidth="1"/>
    <col min="27" max="27" width="5.5703125" bestFit="1" customWidth="1"/>
  </cols>
  <sheetData>
    <row r="1" spans="1:27" ht="15.75" customHeight="1" x14ac:dyDescent="0.2">
      <c r="A1" s="6" t="s">
        <v>131</v>
      </c>
      <c r="B1" s="47"/>
      <c r="C1" s="47"/>
      <c r="D1" s="3"/>
      <c r="E1" s="3"/>
      <c r="G1" s="3"/>
      <c r="H1" s="3"/>
      <c r="Z1" t="s">
        <v>142</v>
      </c>
      <c r="AA1">
        <v>7340</v>
      </c>
    </row>
    <row r="2" spans="1:27" ht="15.75" customHeight="1" x14ac:dyDescent="0.2">
      <c r="A2" s="76"/>
      <c r="B2" s="77"/>
      <c r="C2" s="77"/>
      <c r="D2" s="3"/>
      <c r="E2" s="3"/>
      <c r="G2" s="3"/>
      <c r="H2" s="3"/>
      <c r="Z2" t="s">
        <v>118</v>
      </c>
      <c r="AA2">
        <v>2195</v>
      </c>
    </row>
    <row r="3" spans="1:27" ht="15.75" customHeight="1" x14ac:dyDescent="0.2">
      <c r="A3" s="5" t="s">
        <v>139</v>
      </c>
      <c r="B3" s="78">
        <v>45882</v>
      </c>
      <c r="C3" s="3" t="s">
        <v>140</v>
      </c>
      <c r="F3" s="57"/>
      <c r="H3" s="3"/>
      <c r="N3" s="10"/>
      <c r="O3" s="10"/>
    </row>
    <row r="4" spans="1:27" ht="87" customHeight="1" x14ac:dyDescent="0.2">
      <c r="A4" s="5" t="s">
        <v>118</v>
      </c>
      <c r="B4" s="106" t="s">
        <v>129</v>
      </c>
      <c r="C4" s="3" t="s">
        <v>154</v>
      </c>
      <c r="D4" t="s">
        <v>133</v>
      </c>
      <c r="E4" t="s">
        <v>155</v>
      </c>
      <c r="F4" s="57" t="s">
        <v>130</v>
      </c>
      <c r="G4" t="s">
        <v>156</v>
      </c>
      <c r="H4" s="3" t="s">
        <v>134</v>
      </c>
      <c r="I4" t="s">
        <v>135</v>
      </c>
      <c r="J4" t="s">
        <v>132</v>
      </c>
      <c r="K4" t="s">
        <v>157</v>
      </c>
      <c r="L4" t="s">
        <v>158</v>
      </c>
      <c r="M4" t="s">
        <v>138</v>
      </c>
      <c r="N4" s="10" t="s">
        <v>137</v>
      </c>
      <c r="O4" s="10"/>
    </row>
    <row r="5" spans="1:27" ht="15.75" customHeight="1" x14ac:dyDescent="0.2">
      <c r="A5" s="121" t="s">
        <v>34</v>
      </c>
      <c r="B5" s="24">
        <v>7340</v>
      </c>
      <c r="C5" s="123">
        <v>1</v>
      </c>
      <c r="D5" s="23">
        <v>10500</v>
      </c>
      <c r="E5" s="75">
        <v>0</v>
      </c>
      <c r="F5" s="125">
        <v>4000</v>
      </c>
      <c r="G5" s="71">
        <v>4000</v>
      </c>
      <c r="H5" s="3">
        <v>4000</v>
      </c>
      <c r="I5" s="71">
        <v>4000</v>
      </c>
      <c r="J5" s="71">
        <v>0</v>
      </c>
      <c r="K5" s="23">
        <v>0</v>
      </c>
      <c r="L5" s="23">
        <v>0</v>
      </c>
      <c r="M5" s="112">
        <v>0</v>
      </c>
      <c r="N5" s="10">
        <v>0</v>
      </c>
      <c r="O5" s="10"/>
    </row>
    <row r="6" spans="1:27" ht="15.75" customHeight="1" x14ac:dyDescent="0.2">
      <c r="A6" s="121" t="s">
        <v>35</v>
      </c>
      <c r="B6" s="24">
        <v>0</v>
      </c>
      <c r="C6" s="123">
        <v>2</v>
      </c>
      <c r="D6" s="23">
        <v>1000</v>
      </c>
      <c r="E6" s="75">
        <v>0</v>
      </c>
      <c r="F6" s="125">
        <v>400</v>
      </c>
      <c r="G6" s="71">
        <v>200</v>
      </c>
      <c r="H6" s="3">
        <v>340</v>
      </c>
      <c r="I6" s="71">
        <v>170</v>
      </c>
      <c r="J6" s="71">
        <v>0</v>
      </c>
      <c r="K6" s="23">
        <v>0</v>
      </c>
      <c r="L6" s="126">
        <v>-60</v>
      </c>
      <c r="M6" s="122">
        <v>-0.15</v>
      </c>
      <c r="N6" s="10">
        <v>0</v>
      </c>
      <c r="O6" s="10"/>
    </row>
    <row r="7" spans="1:27" ht="15.75" customHeight="1" x14ac:dyDescent="0.2">
      <c r="A7" s="121" t="s">
        <v>152</v>
      </c>
      <c r="B7" s="77">
        <v>7340</v>
      </c>
      <c r="C7" s="123">
        <v>100</v>
      </c>
      <c r="D7" s="111">
        <v>-2160</v>
      </c>
      <c r="E7" s="75">
        <v>100</v>
      </c>
      <c r="F7" s="125">
        <v>1000</v>
      </c>
      <c r="G7" s="71">
        <v>10</v>
      </c>
      <c r="H7" s="3">
        <v>0</v>
      </c>
      <c r="I7" s="71">
        <v>170</v>
      </c>
      <c r="J7" s="71">
        <v>0</v>
      </c>
      <c r="K7" s="23">
        <v>0</v>
      </c>
      <c r="L7" s="126">
        <v>-1000</v>
      </c>
      <c r="M7" s="122">
        <v>-1</v>
      </c>
      <c r="N7" s="10">
        <v>0</v>
      </c>
      <c r="O7" s="10"/>
    </row>
    <row r="8" spans="1:27" ht="17.25" customHeight="1" x14ac:dyDescent="0.2">
      <c r="A8" s="120" t="s">
        <v>54</v>
      </c>
      <c r="B8" s="77" t="s">
        <v>128</v>
      </c>
      <c r="C8" s="123">
        <v>0.01</v>
      </c>
      <c r="D8" s="124">
        <v>0</v>
      </c>
      <c r="E8" s="75">
        <v>0.01</v>
      </c>
      <c r="F8" s="125">
        <v>1100</v>
      </c>
      <c r="G8" s="71">
        <v>110000</v>
      </c>
      <c r="H8" s="3">
        <v>0</v>
      </c>
      <c r="I8" s="71">
        <v>170</v>
      </c>
      <c r="J8" s="71">
        <v>0</v>
      </c>
      <c r="K8" s="23">
        <v>0</v>
      </c>
      <c r="L8" s="126">
        <v>-1100</v>
      </c>
      <c r="M8" s="122">
        <v>-1</v>
      </c>
      <c r="N8" s="10">
        <v>0</v>
      </c>
      <c r="O8" s="10"/>
    </row>
    <row r="9" spans="1:27" ht="15.75" customHeight="1" x14ac:dyDescent="0.2">
      <c r="A9" s="120"/>
      <c r="B9" s="77"/>
      <c r="C9" s="120"/>
      <c r="D9" s="111"/>
      <c r="F9" s="57"/>
      <c r="H9" s="3"/>
      <c r="N9" s="10"/>
      <c r="O9" s="10"/>
    </row>
    <row r="10" spans="1:27" ht="15.75" customHeight="1" x14ac:dyDescent="0.2">
      <c r="A10" s="120"/>
      <c r="B10" s="77"/>
      <c r="C10" s="120"/>
      <c r="D10" s="111"/>
      <c r="F10" s="57"/>
      <c r="H10" s="3"/>
      <c r="N10" s="10"/>
      <c r="O10" s="10"/>
      <c r="AA10" s="23"/>
    </row>
    <row r="11" spans="1:27" ht="15.75" customHeight="1" x14ac:dyDescent="0.2">
      <c r="A11" s="2"/>
      <c r="B11" s="3"/>
      <c r="C11" s="3"/>
      <c r="H11" s="3"/>
      <c r="AA11" s="23"/>
    </row>
    <row r="12" spans="1:27" ht="31.5" customHeight="1" x14ac:dyDescent="0.2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35"/>
      <c r="AA12" s="23"/>
    </row>
    <row r="13" spans="1:27" ht="15.75" customHeight="1" x14ac:dyDescent="0.2">
      <c r="A13" s="79"/>
      <c r="B13" s="79"/>
      <c r="C13" s="80"/>
      <c r="D13" s="81"/>
      <c r="E13" s="82"/>
      <c r="F13" s="83"/>
      <c r="G13" s="84"/>
      <c r="H13" s="85"/>
      <c r="I13" s="82"/>
      <c r="J13" s="83"/>
      <c r="K13" s="86"/>
      <c r="L13" s="87"/>
      <c r="M13" s="88"/>
      <c r="N13" s="107"/>
      <c r="O13" s="108"/>
      <c r="P13" s="89"/>
      <c r="AA13" s="23"/>
    </row>
    <row r="14" spans="1:27" ht="15.75" customHeight="1" x14ac:dyDescent="0.2">
      <c r="A14" s="79"/>
      <c r="B14" s="90"/>
      <c r="C14" s="80"/>
      <c r="D14" s="80"/>
      <c r="E14" s="82"/>
      <c r="F14" s="83"/>
      <c r="G14" s="84"/>
      <c r="H14" s="86"/>
      <c r="I14" s="87"/>
      <c r="J14" s="88"/>
      <c r="K14" s="91"/>
      <c r="L14" s="82"/>
      <c r="M14" s="92"/>
      <c r="N14" s="110"/>
      <c r="O14" s="109"/>
      <c r="P14" s="89"/>
    </row>
    <row r="15" spans="1:27" ht="15" customHeight="1" x14ac:dyDescent="0.2">
      <c r="A15" s="93"/>
      <c r="B15" s="93"/>
      <c r="C15" s="94"/>
      <c r="D15" s="94"/>
      <c r="E15" s="82"/>
      <c r="F15" s="83"/>
      <c r="G15" s="83"/>
      <c r="H15" s="86"/>
      <c r="I15" s="82"/>
      <c r="J15" s="83"/>
      <c r="K15" s="86"/>
      <c r="L15" s="82"/>
      <c r="M15" s="83"/>
      <c r="N15" s="95"/>
      <c r="O15" s="96"/>
      <c r="P15" s="97"/>
    </row>
    <row r="16" spans="1:27" ht="15.75" customHeight="1" x14ac:dyDescent="0.2">
      <c r="A16" s="98"/>
      <c r="B16" s="98"/>
      <c r="C16" s="94"/>
      <c r="D16" s="94"/>
      <c r="E16" s="82"/>
      <c r="F16" s="83"/>
      <c r="G16" s="88"/>
      <c r="H16" s="99"/>
      <c r="I16" s="82"/>
      <c r="J16" s="83"/>
      <c r="K16" s="86"/>
      <c r="L16" s="82"/>
      <c r="M16" s="83"/>
      <c r="N16" s="104"/>
      <c r="O16" s="105"/>
      <c r="P16" s="97"/>
    </row>
    <row r="17" spans="1:16" ht="15.75" customHeight="1" x14ac:dyDescent="0.2">
      <c r="A17" s="98"/>
      <c r="B17" s="98"/>
      <c r="C17" s="93"/>
      <c r="D17" s="93"/>
      <c r="E17" s="93"/>
      <c r="F17" s="93"/>
      <c r="G17" s="100"/>
      <c r="H17" s="101"/>
      <c r="I17" s="93"/>
      <c r="J17" s="93"/>
      <c r="K17" s="93"/>
      <c r="L17" s="93"/>
      <c r="M17" s="93"/>
      <c r="N17" s="93"/>
      <c r="O17" s="93"/>
      <c r="P17" s="97"/>
    </row>
    <row r="18" spans="1:16" ht="15.75" customHeight="1" x14ac:dyDescent="0.2">
      <c r="A18" s="98"/>
      <c r="B18" s="98"/>
      <c r="C18" s="93"/>
      <c r="D18" s="101"/>
      <c r="E18" s="101"/>
      <c r="F18" s="93"/>
      <c r="G18" s="100"/>
      <c r="H18" s="101"/>
      <c r="I18" s="93"/>
      <c r="J18" s="101"/>
      <c r="K18" s="93"/>
      <c r="L18" s="93"/>
      <c r="M18" s="93"/>
      <c r="N18" s="93"/>
      <c r="O18" s="93"/>
      <c r="P18" s="97"/>
    </row>
    <row r="19" spans="1:16" ht="15.75" customHeight="1" x14ac:dyDescent="0.2">
      <c r="A19" s="98"/>
      <c r="B19" s="98"/>
      <c r="C19" s="93"/>
      <c r="D19" s="93"/>
      <c r="E19" s="93"/>
      <c r="F19" s="93"/>
      <c r="G19" s="100"/>
      <c r="H19" s="101"/>
      <c r="I19" s="93"/>
      <c r="J19" s="93"/>
      <c r="K19" s="93"/>
      <c r="L19" s="93"/>
      <c r="M19" s="93"/>
      <c r="N19" s="93"/>
      <c r="O19" s="93"/>
      <c r="P19" s="97"/>
    </row>
    <row r="20" spans="1:16" ht="15.75" customHeight="1" x14ac:dyDescent="0.2">
      <c r="A20" s="98"/>
      <c r="B20" s="98"/>
      <c r="C20" s="93"/>
      <c r="D20" s="93"/>
      <c r="E20" s="101"/>
      <c r="F20" s="93"/>
      <c r="G20" s="100"/>
      <c r="H20" s="101"/>
      <c r="I20" s="93"/>
      <c r="J20" s="93"/>
      <c r="K20" s="93"/>
      <c r="L20" s="93"/>
      <c r="M20" s="93"/>
      <c r="N20" s="93"/>
      <c r="O20" s="93"/>
      <c r="P20" s="97"/>
    </row>
    <row r="21" spans="1:16" ht="15.75" customHeight="1" x14ac:dyDescent="0.2">
      <c r="A21" s="98"/>
      <c r="B21" s="98"/>
      <c r="C21" s="93"/>
      <c r="D21" s="101"/>
      <c r="E21" s="93"/>
      <c r="F21" s="93"/>
      <c r="G21" s="102"/>
      <c r="H21" s="93"/>
      <c r="I21" s="93"/>
      <c r="J21" s="101"/>
      <c r="K21" s="93"/>
      <c r="L21" s="93"/>
      <c r="M21" s="93"/>
      <c r="N21" s="93"/>
      <c r="O21" s="93"/>
      <c r="P21" s="97"/>
    </row>
    <row r="22" spans="1:16" ht="15.75" customHeight="1" x14ac:dyDescent="0.2">
      <c r="A22" s="98"/>
      <c r="B22" s="98"/>
      <c r="C22" s="93"/>
      <c r="D22" s="93"/>
      <c r="E22" s="93"/>
      <c r="F22" s="93"/>
      <c r="G22" s="100"/>
      <c r="H22" s="93"/>
      <c r="I22" s="93"/>
      <c r="J22" s="93"/>
      <c r="K22" s="93"/>
      <c r="L22" s="93"/>
      <c r="M22" s="93"/>
      <c r="N22" s="93"/>
      <c r="O22" s="93"/>
      <c r="P22" s="97"/>
    </row>
    <row r="23" spans="1:16" ht="15.75" customHeight="1" x14ac:dyDescent="0.2">
      <c r="A23" s="98"/>
      <c r="B23" s="98"/>
      <c r="C23" s="93"/>
      <c r="D23" s="93"/>
      <c r="E23" s="93"/>
      <c r="F23" s="93"/>
      <c r="G23" s="100"/>
      <c r="H23" s="93"/>
      <c r="I23" s="93"/>
      <c r="J23" s="93"/>
      <c r="K23" s="93"/>
      <c r="L23" s="93"/>
      <c r="M23" s="93"/>
      <c r="N23" s="93"/>
      <c r="O23" s="93"/>
      <c r="P23" s="97"/>
    </row>
    <row r="24" spans="1:16" ht="15.75" customHeight="1" x14ac:dyDescent="0.2">
      <c r="A24" s="98"/>
      <c r="B24" s="98"/>
      <c r="C24" s="93"/>
      <c r="D24" s="93"/>
      <c r="E24" s="93"/>
      <c r="F24" s="100"/>
      <c r="G24" s="100"/>
      <c r="H24" s="93"/>
      <c r="I24" s="93"/>
      <c r="J24" s="93"/>
      <c r="K24" s="93"/>
      <c r="L24" s="93"/>
      <c r="M24" s="93"/>
      <c r="N24" s="93"/>
      <c r="O24" s="93"/>
      <c r="P24" s="97"/>
    </row>
    <row r="25" spans="1:16" ht="15.75" customHeight="1" x14ac:dyDescent="0.2">
      <c r="A25" s="98"/>
      <c r="B25" s="103"/>
      <c r="C25" s="93"/>
      <c r="D25" s="93"/>
      <c r="E25" s="93"/>
      <c r="F25" s="100"/>
      <c r="G25" s="100"/>
      <c r="H25" s="93"/>
      <c r="I25" s="93"/>
      <c r="J25" s="93"/>
      <c r="K25" s="93"/>
      <c r="L25" s="93"/>
      <c r="M25" s="93"/>
      <c r="N25" s="93"/>
      <c r="O25" s="93"/>
      <c r="P25" s="97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27" ht="15.75" customHeight="1" x14ac:dyDescent="0.2">
      <c r="F49" s="57"/>
      <c r="J49" s="63"/>
      <c r="M49" s="63"/>
    </row>
    <row r="50" spans="6:27" ht="15.75" customHeight="1" x14ac:dyDescent="0.2">
      <c r="F50" s="57"/>
      <c r="M50" s="63"/>
    </row>
    <row r="51" spans="6:27" ht="15.75" customHeight="1" x14ac:dyDescent="0.2">
      <c r="M51" s="63"/>
    </row>
    <row r="52" spans="6:27" ht="15.75" customHeight="1" x14ac:dyDescent="0.2">
      <c r="M52" s="63"/>
    </row>
    <row r="53" spans="6:27" ht="15.75" customHeight="1" x14ac:dyDescent="0.2">
      <c r="M53" s="63"/>
    </row>
    <row r="54" spans="6:27" ht="15.75" customHeight="1" x14ac:dyDescent="0.2">
      <c r="M54" s="63"/>
    </row>
    <row r="55" spans="6:27" ht="15.75" customHeight="1" x14ac:dyDescent="0.2">
      <c r="M55" s="63"/>
    </row>
    <row r="56" spans="6:27" ht="15.75" customHeight="1" x14ac:dyDescent="0.2">
      <c r="M56" s="63"/>
    </row>
    <row r="57" spans="6:27" ht="15.75" customHeight="1" x14ac:dyDescent="0.2">
      <c r="M57" s="63"/>
    </row>
    <row r="58" spans="6:27" ht="15.75" customHeight="1" x14ac:dyDescent="0.2">
      <c r="M58" s="63"/>
    </row>
    <row r="59" spans="6:27" ht="15.75" customHeight="1" x14ac:dyDescent="0.2"/>
    <row r="60" spans="6:27" ht="15.75" customHeight="1" x14ac:dyDescent="0.2">
      <c r="Z60" t="s">
        <v>54</v>
      </c>
      <c r="AA60" s="23">
        <v>1233</v>
      </c>
    </row>
    <row r="61" spans="6:27" ht="15.75" customHeight="1" x14ac:dyDescent="0.2">
      <c r="Z61" t="s">
        <v>148</v>
      </c>
      <c r="AA61" s="23">
        <v>0</v>
      </c>
    </row>
    <row r="62" spans="6:27" ht="15.75" customHeight="1" x14ac:dyDescent="0.2">
      <c r="Z62" t="s">
        <v>149</v>
      </c>
      <c r="AA62" s="23">
        <v>0</v>
      </c>
    </row>
    <row r="63" spans="6:27" ht="15.75" customHeight="1" x14ac:dyDescent="0.2">
      <c r="Z63" t="s">
        <v>150</v>
      </c>
      <c r="AA63" s="23">
        <v>962</v>
      </c>
    </row>
    <row r="64" spans="6:27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Columns">
                <anchor moveWithCells="1" sizeWithCells="1">
                  <from>
                    <xdr:col>0</xdr:col>
                    <xdr:colOff>180975</xdr:colOff>
                    <xdr:row>3</xdr:row>
                    <xdr:rowOff>219075</xdr:rowOff>
                  </from>
                  <to>
                    <xdr:col>1</xdr:col>
                    <xdr:colOff>390525</xdr:colOff>
                    <xdr:row>3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16</xdr:col>
                    <xdr:colOff>1057275</xdr:colOff>
                    <xdr:row>14</xdr:row>
                    <xdr:rowOff>95250</xdr:rowOff>
                  </from>
                  <to>
                    <xdr:col>17</xdr:col>
                    <xdr:colOff>390525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A087A-9CF9-449A-B397-20C38E5C6D7E}">
  <sheetPr codeName="Sheet11"/>
  <dimension ref="A1:D6"/>
  <sheetViews>
    <sheetView zoomScale="175" zoomScaleNormal="175" workbookViewId="0">
      <selection activeCell="D1" sqref="A1:D1"/>
    </sheetView>
  </sheetViews>
  <sheetFormatPr defaultRowHeight="12.75" x14ac:dyDescent="0.2"/>
  <sheetData>
    <row r="1" spans="1:4" x14ac:dyDescent="0.2">
      <c r="A1" s="57" t="s">
        <v>54</v>
      </c>
      <c r="B1" s="57" t="s">
        <v>148</v>
      </c>
      <c r="C1" s="57" t="s">
        <v>149</v>
      </c>
      <c r="D1" s="57" t="s">
        <v>150</v>
      </c>
    </row>
    <row r="2" spans="1:4" x14ac:dyDescent="0.2">
      <c r="A2" s="57" t="s">
        <v>54</v>
      </c>
      <c r="B2" s="57" t="s">
        <v>34</v>
      </c>
      <c r="D2" s="57" t="s">
        <v>152</v>
      </c>
    </row>
    <row r="3" spans="1:4" x14ac:dyDescent="0.2">
      <c r="C3" s="57" t="s">
        <v>35</v>
      </c>
    </row>
    <row r="4" spans="1:4" x14ac:dyDescent="0.2">
      <c r="B4" s="57" t="s">
        <v>37</v>
      </c>
    </row>
    <row r="5" spans="1:4" x14ac:dyDescent="0.2">
      <c r="B5" s="57" t="s">
        <v>85</v>
      </c>
    </row>
    <row r="6" spans="1:4" x14ac:dyDescent="0.2">
      <c r="B6" s="57" t="s">
        <v>151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0"/>
  <sheetViews>
    <sheetView zoomScale="205" zoomScaleNormal="205" workbookViewId="0">
      <pane ySplit="2" topLeftCell="A3" activePane="bottomLeft" state="frozen"/>
      <selection pane="bottomLeft" activeCell="E12" sqref="E1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136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10000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124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122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1</v>
      </c>
      <c r="F6" s="25">
        <f t="shared" ref="F6:F11" si="0">E6*D6</f>
        <v>4000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45879</v>
      </c>
      <c r="B7" s="25" t="s">
        <v>125</v>
      </c>
      <c r="C7" s="25" t="s">
        <v>34</v>
      </c>
      <c r="D7" s="25">
        <v>4000</v>
      </c>
      <c r="E7" s="25">
        <v>0.5</v>
      </c>
      <c r="F7" s="25">
        <f t="shared" si="0"/>
        <v>2000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45875</v>
      </c>
      <c r="B8" s="25" t="s">
        <v>123</v>
      </c>
      <c r="C8" s="25" t="s">
        <v>35</v>
      </c>
      <c r="D8" s="25">
        <v>200</v>
      </c>
      <c r="E8" s="25">
        <v>2</v>
      </c>
      <c r="F8" s="25">
        <f t="shared" si="0"/>
        <v>400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45880</v>
      </c>
      <c r="B9" s="25" t="s">
        <v>125</v>
      </c>
      <c r="C9" s="25" t="s">
        <v>35</v>
      </c>
      <c r="D9" s="25">
        <v>170</v>
      </c>
      <c r="E9" s="25">
        <v>1</v>
      </c>
      <c r="F9" s="25">
        <f t="shared" si="0"/>
        <v>170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45881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45876</v>
      </c>
      <c r="B11" s="25" t="s">
        <v>123</v>
      </c>
      <c r="C11" s="25" t="s">
        <v>152</v>
      </c>
      <c r="D11" s="25">
        <v>10</v>
      </c>
      <c r="E11" s="25">
        <v>100</v>
      </c>
      <c r="F11" s="25">
        <f t="shared" si="0"/>
        <v>1000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45882</v>
      </c>
      <c r="B13" s="25" t="s">
        <v>125</v>
      </c>
      <c r="C13" s="25" t="s">
        <v>34</v>
      </c>
      <c r="D13" s="25">
        <v>4000</v>
      </c>
      <c r="E13" s="25">
        <v>0.5</v>
      </c>
      <c r="F13" s="25">
        <f>E13*D13</f>
        <v>2000</v>
      </c>
      <c r="G13" s="25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45876</v>
      </c>
      <c r="B14" s="25" t="s">
        <v>123</v>
      </c>
      <c r="C14" s="25" t="s">
        <v>54</v>
      </c>
      <c r="D14" s="25">
        <v>110000</v>
      </c>
      <c r="E14" s="25">
        <v>0.01</v>
      </c>
      <c r="F14" s="25">
        <f>E14*D14</f>
        <v>1100</v>
      </c>
      <c r="G14" s="25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45883</v>
      </c>
      <c r="B15" s="25" t="s">
        <v>125</v>
      </c>
      <c r="C15" s="25" t="s">
        <v>54</v>
      </c>
      <c r="D15" s="25">
        <v>120000</v>
      </c>
      <c r="E15" s="25">
        <v>5.0000000000000001E-3</v>
      </c>
      <c r="F15" s="25">
        <f>E15*D15</f>
        <v>600</v>
      </c>
      <c r="G15" s="25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45889</v>
      </c>
      <c r="B16" s="25" t="s">
        <v>124</v>
      </c>
      <c r="C16" s="25"/>
      <c r="D16" s="25"/>
      <c r="E16" s="25"/>
      <c r="F16" s="25">
        <v>1000</v>
      </c>
      <c r="G16" s="25"/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G17" s="20"/>
      <c r="H17" s="20" t="s">
        <v>72</v>
      </c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G18" s="20"/>
      <c r="H18" s="20" t="s">
        <v>141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G19" s="20"/>
      <c r="H19" s="20" t="s">
        <v>141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</sheetData>
  <autoFilter ref="A2:W19" xr:uid="{00000000-0009-0000-0000-000002000000}"/>
  <dataValidations count="1">
    <dataValidation type="list" allowBlank="1" showInputMessage="1" showErrorMessage="1" sqref="B3:B16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12"/>
  <sheetViews>
    <sheetView zoomScale="190" zoomScaleNormal="190" workbookViewId="0">
      <selection activeCell="A2" sqref="A2:H12"/>
    </sheetView>
  </sheetViews>
  <sheetFormatPr defaultRowHeight="12.75" x14ac:dyDescent="0.2"/>
  <cols>
    <col min="1" max="1" width="10.5703125" style="70" bestFit="1" customWidth="1"/>
    <col min="2" max="4" width="5.5703125" style="23" bestFit="1" customWidth="1"/>
    <col min="5" max="5" width="12.7109375" style="23" bestFit="1" customWidth="1"/>
    <col min="6" max="6" width="14.7109375" style="23" bestFit="1" customWidth="1"/>
    <col min="7" max="7" width="10.85546875" style="23" bestFit="1" customWidth="1"/>
    <col min="8" max="8" width="22.42578125" style="23" bestFit="1" customWidth="1"/>
    <col min="9" max="11" width="8.140625" style="23" customWidth="1"/>
    <col min="12" max="12" width="19.5703125" style="71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12" bestFit="1" customWidth="1"/>
    <col min="19" max="21" width="5.5703125" style="23" bestFit="1" customWidth="1"/>
  </cols>
  <sheetData>
    <row r="1" spans="1:21" s="119" customFormat="1" x14ac:dyDescent="0.2">
      <c r="A1" s="113" t="s">
        <v>112</v>
      </c>
      <c r="B1" s="114" t="s">
        <v>142</v>
      </c>
      <c r="C1" s="114" t="s">
        <v>118</v>
      </c>
      <c r="D1" s="114" t="s">
        <v>0</v>
      </c>
      <c r="E1" s="114" t="s">
        <v>113</v>
      </c>
      <c r="F1" s="115" t="s">
        <v>114</v>
      </c>
      <c r="G1" s="114" t="s">
        <v>115</v>
      </c>
      <c r="H1" s="57" t="s">
        <v>54</v>
      </c>
      <c r="I1" s="57" t="s">
        <v>148</v>
      </c>
      <c r="J1" s="57" t="s">
        <v>149</v>
      </c>
      <c r="K1" s="57" t="s">
        <v>150</v>
      </c>
      <c r="L1" s="116" t="s">
        <v>118</v>
      </c>
      <c r="M1" s="115"/>
      <c r="N1" s="116"/>
      <c r="O1" s="114"/>
      <c r="P1" s="114"/>
      <c r="Q1" s="117"/>
      <c r="R1" s="118"/>
      <c r="S1" s="114"/>
      <c r="T1" s="114"/>
      <c r="U1" s="114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</row>
    <row r="6" spans="1:21" x14ac:dyDescent="0.2">
      <c r="A6" s="70">
        <v>45874</v>
      </c>
      <c r="B6" s="23">
        <v>500</v>
      </c>
      <c r="C6" s="23">
        <v>3612</v>
      </c>
      <c r="D6" s="23">
        <v>4112</v>
      </c>
      <c r="E6" s="23">
        <v>5500</v>
      </c>
      <c r="F6" s="23">
        <v>1000</v>
      </c>
      <c r="G6" s="23">
        <v>-388</v>
      </c>
      <c r="L6" s="71" t="s">
        <v>144</v>
      </c>
    </row>
    <row r="7" spans="1:21" x14ac:dyDescent="0.2">
      <c r="A7" s="70">
        <v>45875</v>
      </c>
      <c r="B7" s="23">
        <v>100</v>
      </c>
      <c r="C7" s="23">
        <v>4019</v>
      </c>
      <c r="D7" s="23">
        <v>4119</v>
      </c>
      <c r="E7" s="23">
        <v>5500</v>
      </c>
      <c r="F7" s="23">
        <v>1000</v>
      </c>
      <c r="G7" s="23">
        <v>-381</v>
      </c>
    </row>
    <row r="8" spans="1:21" x14ac:dyDescent="0.2">
      <c r="A8" s="70">
        <v>45876</v>
      </c>
      <c r="B8" s="23">
        <v>100</v>
      </c>
      <c r="C8" s="23">
        <v>4261</v>
      </c>
      <c r="D8" s="23">
        <v>4361</v>
      </c>
      <c r="E8" s="23">
        <v>5500</v>
      </c>
      <c r="F8" s="23">
        <v>1000</v>
      </c>
      <c r="G8" s="23">
        <v>-139</v>
      </c>
    </row>
    <row r="9" spans="1:21" x14ac:dyDescent="0.2">
      <c r="A9" s="70">
        <v>45877</v>
      </c>
      <c r="B9" s="23">
        <v>100</v>
      </c>
      <c r="C9" s="23">
        <v>4363</v>
      </c>
      <c r="D9" s="23">
        <v>4463</v>
      </c>
      <c r="E9" s="23">
        <v>5500</v>
      </c>
      <c r="F9" s="23">
        <v>1000</v>
      </c>
      <c r="G9" s="23">
        <v>-37</v>
      </c>
      <c r="L9" s="71" t="s">
        <v>143</v>
      </c>
    </row>
    <row r="10" spans="1:21" x14ac:dyDescent="0.2">
      <c r="A10" s="70">
        <v>45879</v>
      </c>
      <c r="B10" s="23">
        <v>2100</v>
      </c>
      <c r="C10" s="23">
        <v>2491</v>
      </c>
      <c r="D10" s="23">
        <v>4591</v>
      </c>
    </row>
    <row r="11" spans="1:21" x14ac:dyDescent="0.2">
      <c r="A11" s="70">
        <v>45881</v>
      </c>
      <c r="B11" s="23">
        <v>2440</v>
      </c>
      <c r="C11" s="23">
        <v>2295</v>
      </c>
      <c r="D11" s="23">
        <v>4735</v>
      </c>
      <c r="E11" s="23">
        <v>5500</v>
      </c>
      <c r="F11" s="23">
        <v>1000</v>
      </c>
      <c r="G11" s="23">
        <v>235</v>
      </c>
      <c r="L11" s="71" t="s">
        <v>145</v>
      </c>
    </row>
    <row r="12" spans="1:21" x14ac:dyDescent="0.2">
      <c r="A12" s="70">
        <v>45882</v>
      </c>
      <c r="B12" s="23">
        <v>7340</v>
      </c>
      <c r="C12" s="23">
        <v>2195</v>
      </c>
      <c r="D12" s="23">
        <v>9535</v>
      </c>
      <c r="E12" s="23">
        <v>10500</v>
      </c>
      <c r="F12" s="23">
        <v>1000</v>
      </c>
      <c r="G12" s="23">
        <v>35</v>
      </c>
      <c r="H12" s="23" t="s">
        <v>153</v>
      </c>
    </row>
  </sheetData>
  <sortState xmlns:xlrd2="http://schemas.microsoft.com/office/spreadsheetml/2017/richdata2" ref="A2:H12">
    <sortCondition ref="A2:A1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24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136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141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141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Monthly_Review</vt:lpstr>
      <vt:lpstr>Position</vt:lpstr>
      <vt:lpstr>Catagory</vt:lpstr>
      <vt:lpstr>Portfolio_bk</vt:lpstr>
      <vt:lpstr>Order_History</vt:lpstr>
      <vt:lpstr>Sheet1</vt:lpstr>
      <vt:lpstr>Daily_Snapshot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2025-09-03T00:52:41Z</dcterms:modified>
</cp:coreProperties>
</file>