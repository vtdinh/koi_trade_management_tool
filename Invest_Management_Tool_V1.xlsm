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73D82D71-EAEE-4454-8E6C-8DC4AF33A632}" xr6:coauthVersionLast="47" xr6:coauthVersionMax="47" xr10:uidLastSave="{00000000-0000-0000-0000-000000000000}"/>
  <bookViews>
    <workbookView xWindow="-120" yWindow="-120" windowWidth="38640" windowHeight="21120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</sheets>
  <functionGroups builtInGroupCount="19"/>
  <externalReferences>
    <externalReference r:id="rId10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Position!$A$30:$D$37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1" l="1"/>
  <c r="F8" i="20"/>
  <c r="D8" i="20"/>
  <c r="B8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trong vòng 1 tháng gần nhất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L20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<sst xmlns="http://schemas.openxmlformats.org/spreadsheetml/2006/main" count="1138" uniqueCount="688">
  <si>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</si>
  <si>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</si>
  <si>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</si>
  <si>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</si>
  <si>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</si>
  <si>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</si>
  <si>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</si>
  <si>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</si>
  <si>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</si>
  <si>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</si>
  <si>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</si>
  <si>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</si>
  <si>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</si>
  <si>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</si>
  <si>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</si>
  <si>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</si>
  <si>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</si>
  <si>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</si>
  <si>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</si>
  <si>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</si>
  <si>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</si>
  <si>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</si>
  <si>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</si>
  <si>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</si>
  <si>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</si>
  <si>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</si>
  <si>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</si>
  <si>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</si>
  <si>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</si>
  <si>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</si>
  <si>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</si>
  <si>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</si>
  <si>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</si>
  <si>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</si>
  <si>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</si>
  <si>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</si>
  <si>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</si>
  <si>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</si>
  <si>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</si>
  <si>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</si>
  <si>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</si>
  <si>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</si>
  <si>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FET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</si>
  <si>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</si>
  <si>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</si>
  <si>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</si>
  <si>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</si>
  <si>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</si>
  <si>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</si>
  <si>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</si>
  <si>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</si>
  <si>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</si>
  <si>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</si>
  <si>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</si>
  <si>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</si>
  <si>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</si>
  <si>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</si>
  <si>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</si>
  <si>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</si>
  <si>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</si>
  <si>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</si>
  <si>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</si>
  <si>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</si>
  <si>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</si>
  <si>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</si>
  <si>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</si>
  <si>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</si>
  <si>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</si>
  <si>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</si>
  <si>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</si>
  <si>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</si>
  <si>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</si>
  <si>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</si>
  <si>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</si>
  <si>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</si>
  <si>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</si>
  <si>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</si>
  <si>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</si>
  <si>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</si>
  <si>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</si>
  <si>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</si>
  <si>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</si>
  <si>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</si>
  <si>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</si>
  <si>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</si>
  <si>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</si>
  <si>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</si>
  <si>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</si>
  <si>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</si>
  <si>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</si>
  <si>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</si>
  <si>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</si>
  <si>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</si>
  <si>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</si>
  <si>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</si>
  <si>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</si>
  <si>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</si>
  <si>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</si>
  <si>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</si>
  <si>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</si>
  <si>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</si>
  <si>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</si>
  <si>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</si>
  <si>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</si>
  <si>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</si>
  <si>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</si>
  <si>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</si>
  <si>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</si>
  <si>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</si>
  <si>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</si>
  <si>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</si>
  <si>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</si>
  <si>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</si>
  <si>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</si>
  <si>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</si>
  <si>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</si>
  <si>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</si>
  <si>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</si>
  <si>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</si>
  <si>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</si>
  <si>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</si>
  <si>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</si>
  <si>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</si>
  <si>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</si>
  <si>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</si>
  <si>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</si>
  <si>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</si>
  <si>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</si>
  <si>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</si>
  <si>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</si>
  <si>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</si>
  <si>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</si>
  <si>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</si>
  <si>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</si>
  <si>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</si>
  <si>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</si>
  <si>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</si>
  <si>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</si>
  <si>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</si>
  <si>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</si>
  <si>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</si>
  <si>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</si>
  <si>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</si>
  <si>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</si>
  <si>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</si>
  <si>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</si>
  <si>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</si>
  <si>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</si>
  <si>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</si>
  <si>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</si>
  <si>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</si>
  <si>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</si>
  <si>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</si>
  <si>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</si>
  <si>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</si>
  <si>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</si>
  <si>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</si>
  <si>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</si>
  <si>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</si>
  <si>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</si>
  <si>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</si>
  <si>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</si>
  <si>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</si>
  <si>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</si>
  <si>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</si>
  <si>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</si>
  <si>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</si>
  <si>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</si>
  <si>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</si>
  <si>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</si>
  <si>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</si>
  <si>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</si>
  <si>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</si>
  <si>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</si>
  <si>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</si>
  <si>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</si>
  <si>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</si>
  <si>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</si>
  <si>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</si>
  <si>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</si>
  <si>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</si>
  <si>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</si>
  <si>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</si>
  <si>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</si>
  <si>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</si>
  <si>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</si>
  <si>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</si>
  <si>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</si>
  <si>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</si>
  <si>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</si>
  <si>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</si>
  <si>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</si>
  <si>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</si>
  <si>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</si>
  <si>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</si>
  <si>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</si>
  <si>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</si>
  <si>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</si>
  <si>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</si>
  <si>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</si>
  <si>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</si>
  <si>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</si>
  <si>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</si>
  <si>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</si>
  <si>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</si>
  <si>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</si>
  <si>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</si>
  <si>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</si>
  <si>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</si>
  <si>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</si>
  <si>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</si>
  <si>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</si>
  <si>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</si>
  <si>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</si>
  <si>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</si>
  <si>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</si>
  <si>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</si>
  <si>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</si>
  <si>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</si>
  <si>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</si>
  <si>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</si>
  <si>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</si>
  <si>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</si>
  <si>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</si>
  <si>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</si>
  <si>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</si>
  <si>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</si>
  <si>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</si>
  <si>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</si>
  <si>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</si>
  <si>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</si>
  <si>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</si>
  <si>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</si>
  <si>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</si>
  <si>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</si>
  <si>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</si>
  <si>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</si>
  <si>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</si>
  <si>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</si>
  <si>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</si>
  <si>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</si>
  <si>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</si>
  <si>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</si>
  <si>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</si>
  <si>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</si>
  <si>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</si>
  <si>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</si>
  <si>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</si>
  <si>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</si>
  <si>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</si>
  <si>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</si>
  <si>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</si>
  <si>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</si>
  <si>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</si>
  <si>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</si>
  <si>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</si>
  <si>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</si>
  <si>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</si>
  <si>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</si>
  <si>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</si>
  <si>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</si>
  <si>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</si>
  <si>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</si>
  <si>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</si>
  <si>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</si>
  <si>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</si>
  <si>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</si>
  <si>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</si>
  <si>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</si>
  <si>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</si>
  <si>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</si>
  <si>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</si>
  <si>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</si>
  <si>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</si>
  <si>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</si>
  <si>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</si>
  <si>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</si>
  <si>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</si>
  <si>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</si>
  <si>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</si>
  <si>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</si>
  <si>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</si>
  <si>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</si>
  <si>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</si>
  <si>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</si>
  <si>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</si>
  <si>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</si>
  <si>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</si>
  <si>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</si>
  <si>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</si>
  <si>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</si>
  <si>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</si>
  <si>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</si>
  <si>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</si>
  <si>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</si>
  <si>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</si>
  <si>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</si>
  <si>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</si>
  <si>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</si>
  <si>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</si>
  <si>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</si>
  <si>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</si>
  <si>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</si>
  <si>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</si>
  <si>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</si>
  <si>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</si>
  <si>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</si>
  <si>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</si>
  <si>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</si>
  <si>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</si>
  <si>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</si>
  <si>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</si>
  <si>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</si>
  <si>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</si>
  <si>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</si>
  <si>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</si>
  <si>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</si>
  <si>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</si>
  <si>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</si>
  <si>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</si>
  <si>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</si>
  <si>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</si>
  <si>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</si>
  <si>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</si>
  <si>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</si>
  <si>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</si>
  <si>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</si>
  <si>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</si>
  <si>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</si>
  <si>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</si>
  <si>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</si>
  <si>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</si>
  <si>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</si>
  <si>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</si>
  <si>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</si>
  <si>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</si>
  <si>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</si>
  <si>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</si>
  <si>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</si>
  <si>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</si>
  <si>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</si>
  <si>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</si>
  <si>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</si>
  <si>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</si>
  <si>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</si>
  <si>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</si>
  <si>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</si>
  <si>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</si>
  <si>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</si>
  <si>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</si>
  <si>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</si>
  <si>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</si>
  <si>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</si>
  <si>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</si>
  <si>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</si>
  <si>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</si>
  <si>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</si>
  <si>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</si>
  <si>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</si>
  <si>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</si>
  <si>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</si>
  <si>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</si>
  <si>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</si>
  <si>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</si>
  <si>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</si>
  <si>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</si>
  <si>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</si>
  <si>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</si>
  <si>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</si>
  <si>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</si>
  <si>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</si>
  <si>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</si>
  <si>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</si>
  <si>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</si>
  <si>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</si>
  <si>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</si>
  <si>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</si>
  <si>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</si>
  <si>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</si>
  <si>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</si>
  <si>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</si>
  <si>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</si>
  <si>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</si>
  <si>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</si>
  <si>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</si>
  <si>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</si>
  <si>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</si>
  <si>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</si>
  <si>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</si>
  <si>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</si>
  <si>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</si>
  <si>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</si>
  <si>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</si>
  <si>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</si>
  <si>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</si>
  <si>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</si>
  <si>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</si>
  <si>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</si>
  <si>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</si>
  <si>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</si>
  <si>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</si>
  <si>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</si>
  <si>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</si>
  <si>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</si>
  <si>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</si>
  <si>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</si>
  <si>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</si>
  <si>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</si>
  <si>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</si>
  <si>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</si>
  <si>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</si>
  <si>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</si>
  <si>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</si>
  <si>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</si>
  <si>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</si>
  <si>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</si>
  <si>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</si>
  <si>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</si>
  <si>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</si>
  <si>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</si>
  <si>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</si>
  <si>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</si>
  <si>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</si>
  <si>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</si>
  <si>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</si>
  <si>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</si>
  <si>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</si>
  <si>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</si>
  <si>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</si>
  <si>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</si>
  <si>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</si>
  <si>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</si>
  <si>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</si>
  <si>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</si>
  <si>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</si>
  <si>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</si>
  <si>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</si>
  <si>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</si>
  <si>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</si>
  <si>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</si>
  <si>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</si>
  <si>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</si>
  <si>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</si>
  <si>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</si>
  <si>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</si>
  <si>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</si>
  <si>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</si>
  <si>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</si>
  <si>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</si>
  <si>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</si>
  <si>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</si>
  <si>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</si>
  <si>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</si>
  <si>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</si>
  <si>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</si>
  <si>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</si>
  <si>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</si>
  <si>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</si>
  <si>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</si>
  <si>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</si>
  <si>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</si>
  <si>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</si>
  <si>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</si>
  <si>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</si>
  <si>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</si>
  <si>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</si>
  <si>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</si>
  <si>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</si>
  <si>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</si>
  <si>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</si>
  <si>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</si>
  <si>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</si>
  <si>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</si>
  <si>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</si>
  <si>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</si>
  <si>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</si>
  <si>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</si>
  <si>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</si>
  <si>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</si>
  <si>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</si>
  <si>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</si>
  <si>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</si>
  <si>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</si>
  <si>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</si>
  <si>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</si>
  <si>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</si>
  <si>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</si>
  <si>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</si>
  <si>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</si>
  <si>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</si>
  <si>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</si>
  <si>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</si>
  <si>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</si>
  <si>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</si>
  <si>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</si>
  <si>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</si>
  <si>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</si>
  <si>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</si>
  <si>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</si>
  <si>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</si>
  <si>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</si>
  <si>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</si>
  <si>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</si>
  <si>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</si>
  <si>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</si>
  <si>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</si>
  <si>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</si>
  <si>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</si>
  <si>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</si>
  <si>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</si>
  <si>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</si>
  <si>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</si>
  <si>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</si>
  <si>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</si>
  <si>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</si>
  <si>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</si>
  <si>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</si>
  <si>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</si>
  <si>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</si>
  <si>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</si>
  <si>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</si>
  <si>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</si>
  <si>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</si>
  <si>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</si>
  <si>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</si>
  <si>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</si>
  <si>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</si>
  <si>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</si>
  <si>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</si>
  <si>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</si>
  <si>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</si>
  <si>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</si>
  <si>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</si>
  <si>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</si>
  <si>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</si>
  <si>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</si>
  <si>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</si>
  <si>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</si>
  <si>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</si>
  <si>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</si>
  <si>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</si>
  <si>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</si>
  <si>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</si>
  <si>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</si>
  <si>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</si>
  <si>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</si>
  <si>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</si>
  <si>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</si>
  <si>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</si>
  <si>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</si>
  <si>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</si>
  <si>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</si>
  <si>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</si>
  <si>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</si>
  <si>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</si>
  <si>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</si>
  <si>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</si>
  <si>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</si>
  <si>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</si>
  <si>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</si>
  <si>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</si>
  <si>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</si>
  <si>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</si>
  <si>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</si>
  <si>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</si>
  <si>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</si>
  <si>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</si>
  <si>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</si>
  <si>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</si>
  <si>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</si>
  <si>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</si>
  <si>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</si>
  <si>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</si>
  <si>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</si>
  <si>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</si>
  <si>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</si>
  <si>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</si>
  <si>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</si>
  <si>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</si>
  <si>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</si>
  <si>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</si>
  <si>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</si>
  <si>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</si>
  <si>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</si>
  <si>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</si>
  <si>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</si>
  <si>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</si>
  <si>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</si>
  <si>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</si>
  <si>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</si>
  <si>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</si>
  <si>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</si>
  <si>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</si>
  <si>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</si>
  <si>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</si>
  <si>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</si>
  <si>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</si>
  <si>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</si>
  <si>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</si>
  <si>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</si>
  <si>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</si>
  <si>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</si>
  <si>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</si>
  <si>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</si>
  <si>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</si>
  <si>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</si>
  <si>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</si>
  <si>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</si>
  <si>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</si>
  <si>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</si>
  <si>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</si>
  <si>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</si>
  <si>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</si>
  <si>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</si>
  <si>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</si>
  <si>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</si>
  <si>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</si>
  <si>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</si>
  <si>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</si>
  <si>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</si>
  <si>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</si>
  <si>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</si>
  <si>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</si>
  <si>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</si>
  <si>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</si>
  <si>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</si>
  <si>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</si>
  <si>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</si>
  <si>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</si>
  <si>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</si>
  <si>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</si>
  <si>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</si>
  <si>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</si>
  <si>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</si>
  <si>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</si>
  <si>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</si>
  <si>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</si>
  <si>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</si>
  <si>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</si>
  <si>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</si>
  <si>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</si>
  <si>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</si>
  <si>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</si>
  <si>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</si>
  <si>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</si>
  <si>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</si>
  <si>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</si>
  <si>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</si>
  <si>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</si>
  <si>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</si>
  <si>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</si>
  <si>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</si>
  <si>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</si>
  <si>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</si>
  <si>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ETH: 2,608; SOL: 878; BNB: 516; ADA: 354; WLD: 181; MNT: 120; HYPE: 110; SUI: 87; ONDO: 72; LINK: 58; VET: 50; UNI: 36; ALGO: 34; INJ: 33; NEAR: 26;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</si>
  <si>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</si>
  <si>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</si>
  <si>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</si>
  <si>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</si>
  <si>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</si>
  <si>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</si>
  <si>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</si>
  <si>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</si>
  <si>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</si>
  <si>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</si>
  <si>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</si>
  <si>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</si>
  <si>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</si>
  <si>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</si>
  <si>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</si>
  <si>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</si>
  <si>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</si>
  <si>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</si>
  <si>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ETH: 2,840; SOL: 975; BNB: 542; ADA: 374; WLD: 155; MNT: 138; HYPE: 108; SUI: 93; ONDO: 84; LINK: 63; VET: 52; UNI: 39; ALGO: 36; INJ: 34; NEAR: 28; AR: 25</t>
  </si>
  <si>
    <t>ETH: 2,632; SOL: 906; BNB: 524; ADA: 362; WLD: 175; MNT: 138; HYPE: 108; SUI: 91; ONDO: 78; LINK: 59; VET: 50; UNI: 37; ALGO: 35; INJ: 33; NEAR: 27; AR: 24</t>
  </si>
  <si>
    <t>ETH: 2,698; SOL: 925; BNB: 529; ADA: 365; WLD: 155; MNT: 138; HYPE: 108; SUI: 92; ONDO: 82; LINK: 61; VET: 51; UNI: 38; ALGO: 36; INJ: 34; NEAR: 27; AR: 24</t>
  </si>
  <si>
    <t>ETH: 2,856; SOL: 984; BNB: 545; ADA: 382; WLD: 155; MNT: 138; HYPE: 108; SUI: 94; ONDO: 84; LINK: 63; VET: 52; UNI: 39; ALGO: 37; INJ: 34; NEAR: 28; AR: 25</t>
  </si>
  <si>
    <t>Limit</t>
  </si>
  <si>
    <t>%NAV</t>
  </si>
  <si>
    <t>Max. NAV 3M</t>
  </si>
  <si>
    <t>Min. NAV 3M</t>
  </si>
  <si>
    <t>Reduce %Alt.TOP</t>
  </si>
  <si>
    <t>Reduce Num of Alt.TOP coin</t>
  </si>
  <si>
    <t>Reduce %Alt.MID</t>
  </si>
  <si>
    <t>Reduce Num of Alt.MID coin</t>
  </si>
  <si>
    <t>Select date</t>
  </si>
  <si>
    <t>Reduce %Coin</t>
  </si>
  <si>
    <t>Check NAV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</si>
</sst>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9" formatCode="dd/mm/yy"/>
  </numFmts>
  <fonts count="26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17" fillId="0" borderId="6" xfId="0" applyNumberFormat="1" applyFont="1" applyBorder="1" applyAlignment="1">
      <alignment horizontal="right" vertical="center"/>
    </xf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3" fontId="17" fillId="0" borderId="0" xfId="0" applyNumberFormat="1" applyFont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174" fontId="0" fillId="0" borderId="0" xfId="0" applyNumberFormat="1"/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6" fontId="17" fillId="0" borderId="1" xfId="0" applyNumberFormat="1" applyFont="1" applyBorder="1" applyAlignment="1">
      <alignment horizontal="right" vertical="center"/>
    </xf>
    <xf numFmtId="166" fontId="17" fillId="0" borderId="0" xfId="0" applyNumberFormat="1" applyFont="1"/>
    <xf numFmtId="0" fontId="24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2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66" fontId="0" fillId="0" borderId="0" xfId="0" applyNumberFormat="1"/>
    <xf numFmtId="3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4" fontId="0" fillId="0" borderId="1" xfId="0" applyNumberFormat="1" applyBorder="1"/>
    <xf numFmtId="4" fontId="7" fillId="0" borderId="0" xfId="0" applyNumberFormat="1" applyFont="1" applyAlignment="1">
      <alignment horizontal="right" vertical="center"/>
    </xf>
    <xf numFmtId="166" fontId="0" fillId="0" borderId="0" xfId="0" applyNumberFormat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66" fontId="17" fillId="0" borderId="0" xfId="0" applyNumberFormat="1" applyFont="1" applyAlignment="1">
      <alignment horizontal="right" vertical="center"/>
    </xf>
    <xf numFmtId="174" fontId="0" fillId="0" borderId="0" xfId="0" applyNumberFormat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4" fontId="0" fillId="0" borderId="5" xfId="0" applyNumberFormat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4" fontId="2" fillId="0" borderId="0" xfId="0" applyNumberFormat="1" applyFont="1" applyAlignment="1">
      <alignment horizontal="right" vertical="center"/>
    </xf>
    <xf numFmtId="4" fontId="7" fillId="0" borderId="1" xfId="0" applyNumberFormat="1" applyFont="1" applyBorder="1"/>
    <xf numFmtId="3" fontId="0" fillId="0" borderId="5" xfId="0" applyNumberFormat="1" applyBorder="1" applyAlignment="1">
      <alignment horizontal="right" vertical="center"/>
    </xf>
    <xf numFmtId="166" fontId="0" fillId="0" borderId="1" xfId="0" applyNumberFormat="1" applyBorder="1" applyAlignment="1">
      <alignment horizontal="right" vertical="center"/>
    </xf>
    <xf numFmtId="166" fontId="0" fillId="0" borderId="5" xfId="0" applyNumberFormat="1" applyBorder="1" applyAlignment="1">
      <alignment horizontal="right" vertical="center"/>
    </xf>
    <xf numFmtId="3" fontId="17" fillId="0" borderId="5" xfId="0" applyNumberFormat="1" applyFont="1" applyBorder="1" applyAlignment="1">
      <alignment horizontal="right" vertical="center"/>
    </xf>
    <xf numFmtId="174" fontId="7" fillId="0" borderId="0" xfId="0" applyNumberFormat="1" applyFont="1" applyAlignment="1">
      <alignment horizontal="right" vertical="center"/>
    </xf>
    <xf numFmtId="3" fontId="3" fillId="7" borderId="1" xfId="0" applyNumberFormat="1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5" fillId="0" borderId="0" xfId="0" applyNumberFormat="1" applyFont="1"/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67" fontId="2" fillId="0" borderId="0" xfId="0" applyNumberFormat="1" applyFont="1" applyBorder="1" applyAlignment="1">
      <alignment horizontal="right" vertical="center"/>
    </xf>
    <xf numFmtId="17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3" fontId="0" fillId="0" borderId="0" xfId="0" applyNumberFormat="1" applyBorder="1"/>
    <xf numFmtId="4" fontId="0" fillId="0" borderId="0" xfId="0" applyNumberFormat="1" applyBorder="1" applyAlignment="1">
      <alignment horizontal="right" vertical="center"/>
    </xf>
    <xf numFmtId="4" fontId="0" fillId="0" borderId="0" xfId="0" applyNumberFormat="1" applyBorder="1"/>
    <xf numFmtId="0" fontId="0" fillId="0" borderId="0" xfId="0" applyBorder="1" applyAlignment="1">
      <alignment horizontal="right" vertical="center"/>
    </xf>
    <xf numFmtId="166" fontId="0" fillId="0" borderId="0" xfId="0" applyNumberFormat="1" applyBorder="1" applyAlignment="1">
      <alignment horizontal="right" vertical="center"/>
    </xf>
    <xf numFmtId="3" fontId="20" fillId="0" borderId="0" xfId="0" applyNumberFormat="1" applyFont="1" applyBorder="1" applyAlignment="1">
      <alignment horizontal="right" vertical="center"/>
    </xf>
    <xf numFmtId="3" fontId="17" fillId="0" borderId="0" xfId="0" applyNumberFormat="1" applyFont="1" applyBorder="1" applyAlignment="1">
      <alignment horizontal="right" vertical="center"/>
    </xf>
    <xf numFmtId="166" fontId="20" fillId="0" borderId="0" xfId="0" applyNumberFormat="1" applyFont="1" applyBorder="1" applyAlignment="1">
      <alignment horizontal="right" vertical="center"/>
    </xf>
    <xf numFmtId="166" fontId="17" fillId="0" borderId="0" xfId="0" applyNumberFormat="1" applyFont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NumberFormat="1"/>
    <xf numFmtId="0" fontId="7" fillId="0" borderId="0" xfId="0" applyNumberFormat="1" applyFont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0" fontId="25" fillId="0" borderId="0" xfId="0" applyFont="1" applyAlignment="1">
      <alignment horizontal="center"/>
    </xf>
    <xf numFmtId="171" fontId="0" fillId="0" borderId="0" xfId="0" applyNumberFormat="1"/>
    <xf numFmtId="174" fontId="0" fillId="0" borderId="0" xfId="0" applyNumberFormat="1" applyBorder="1"/>
    <xf numFmtId="4" fontId="7" fillId="0" borderId="0" xfId="0" applyNumberFormat="1" applyFont="1" applyBorder="1" applyAlignment="1">
      <alignment horizontal="right" vertical="center"/>
    </xf>
    <xf numFmtId="0" fontId="0" fillId="0" borderId="0" xfId="0" applyNumberFormat="1" applyBorder="1"/>
    <xf numFmtId="166" fontId="0" fillId="0" borderId="0" xfId="0" applyNumberFormat="1" applyBorder="1"/>
    <xf numFmtId="3" fontId="17" fillId="0" borderId="0" xfId="0" applyNumberFormat="1" applyFont="1" applyBorder="1"/>
    <xf numFmtId="166" fontId="17" fillId="0" borderId="0" xfId="0" applyNumberFormat="1" applyFont="1" applyBorder="1"/>
    <xf numFmtId="179" fontId="0" fillId="0" borderId="0" xfId="0" applyNumberFormat="1"/>
    <xf numFmtId="4" fontId="2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174" fontId="2" fillId="0" borderId="5" xfId="0" applyNumberFormat="1" applyFont="1" applyBorder="1" applyAlignment="1">
      <alignment horizontal="right" vertical="center"/>
    </xf>
    <xf numFmtId="174" fontId="7" fillId="0" borderId="0" xfId="0" applyNumberFormat="1" applyFont="1" applyBorder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172" fontId="7" fillId="0" borderId="8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/>
    </xf>
    <xf numFmtId="174" fontId="2" fillId="0" borderId="1" xfId="0" applyNumberFormat="1" applyFont="1" applyBorder="1" applyAlignment="1">
      <alignment horizontal="right" vertical="center" wrapText="1"/>
    </xf>
    <xf numFmtId="3" fontId="2" fillId="0" borderId="0" xfId="0" applyNumberFormat="1" applyFont="1" applyBorder="1" applyAlignment="1">
      <alignment horizontal="right" vertical="center"/>
    </xf>
    <xf numFmtId="166" fontId="2" fillId="0" borderId="0" xfId="0" applyNumberFormat="1" applyFont="1" applyBorder="1" applyAlignment="1">
      <alignment horizontal="right" vertical="center"/>
    </xf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902</c:v>
              </c:pt>
              <c:pt idx="1">
                <c:v>5637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</c:strLit>
          </c:cat>
          <c:val>
            <c:numLit>
              <c:formatCode>General</c:formatCode>
              <c:ptCount val="5"/>
              <c:pt idx="0">
                <c:v>2857</c:v>
              </c:pt>
              <c:pt idx="1">
                <c:v>545</c:v>
              </c:pt>
              <c:pt idx="2">
                <c:v>386</c:v>
              </c:pt>
              <c:pt idx="3">
                <c:v>96</c:v>
              </c:pt>
              <c:pt idx="4">
                <c:v>982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LINK</c:v>
              </c:pt>
              <c:pt idx="6">
                <c:v>UNI</c:v>
              </c:pt>
              <c:pt idx="7">
                <c:v>INJ</c:v>
              </c:pt>
              <c:pt idx="8">
                <c:v>AR</c:v>
              </c:pt>
              <c:pt idx="9">
                <c:v>MNT</c:v>
              </c:pt>
              <c:pt idx="10">
                <c:v>HYPE</c:v>
              </c:pt>
            </c:strLit>
          </c:cat>
          <c:val>
            <c:numLit>
              <c:formatCode>General</c:formatCode>
              <c:ptCount val="11"/>
              <c:pt idx="0">
                <c:v>53</c:v>
              </c:pt>
              <c:pt idx="1">
                <c:v>37</c:v>
              </c:pt>
              <c:pt idx="2">
                <c:v>28</c:v>
              </c:pt>
              <c:pt idx="3">
                <c:v>152</c:v>
              </c:pt>
              <c:pt idx="4">
                <c:v>84</c:v>
              </c:pt>
              <c:pt idx="5">
                <c:v>64</c:v>
              </c:pt>
              <c:pt idx="6">
                <c:v>39</c:v>
              </c:pt>
              <c:pt idx="7">
                <c:v>35</c:v>
              </c:pt>
              <c:pt idx="8">
                <c:v>25</c:v>
              </c:pt>
              <c:pt idx="9">
                <c:v>142</c:v>
              </c:pt>
              <c:pt idx="10">
                <c:v>109</c:v>
              </c:pt>
            </c:numLit>
          </c:val>
          <c:extLst>
            <c:ext xmlns:c16="http://schemas.microsoft.com/office/drawing/2014/chart" uri="{C3380CC4-5D6E-409C-BE32-E72D297353CC}">
              <c16:uniqueId val="{00000000-238F-44E8-B85E-1D226D91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B6FD-4F6A-90EA-4873DF371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4866</c:v>
              </c:pt>
              <c:pt idx="2">
                <c:v>768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45821</c:v>
                </c:pt>
                <c:pt idx="1">
                  <c:v>45822</c:v>
                </c:pt>
                <c:pt idx="2">
                  <c:v>45823</c:v>
                </c:pt>
                <c:pt idx="3">
                  <c:v>45824</c:v>
                </c:pt>
                <c:pt idx="4">
                  <c:v>45825</c:v>
                </c:pt>
                <c:pt idx="5">
                  <c:v>45826</c:v>
                </c:pt>
                <c:pt idx="6">
                  <c:v>45827</c:v>
                </c:pt>
                <c:pt idx="7">
                  <c:v>45828</c:v>
                </c:pt>
                <c:pt idx="8">
                  <c:v>45829</c:v>
                </c:pt>
                <c:pt idx="9">
                  <c:v>45830</c:v>
                </c:pt>
                <c:pt idx="10">
                  <c:v>45831</c:v>
                </c:pt>
                <c:pt idx="11">
                  <c:v>45832</c:v>
                </c:pt>
                <c:pt idx="12">
                  <c:v>45833</c:v>
                </c:pt>
                <c:pt idx="13">
                  <c:v>45834</c:v>
                </c:pt>
                <c:pt idx="14">
                  <c:v>45835</c:v>
                </c:pt>
                <c:pt idx="15">
                  <c:v>45836</c:v>
                </c:pt>
                <c:pt idx="16">
                  <c:v>45837</c:v>
                </c:pt>
                <c:pt idx="17">
                  <c:v>45838</c:v>
                </c:pt>
                <c:pt idx="18">
                  <c:v>45839</c:v>
                </c:pt>
                <c:pt idx="19">
                  <c:v>45840</c:v>
                </c:pt>
                <c:pt idx="20">
                  <c:v>45841</c:v>
                </c:pt>
                <c:pt idx="21">
                  <c:v>45842</c:v>
                </c:pt>
                <c:pt idx="22">
                  <c:v>45843</c:v>
                </c:pt>
                <c:pt idx="23">
                  <c:v>45844</c:v>
                </c:pt>
                <c:pt idx="24">
                  <c:v>45845</c:v>
                </c:pt>
                <c:pt idx="25">
                  <c:v>45846</c:v>
                </c:pt>
                <c:pt idx="26">
                  <c:v>45847</c:v>
                </c:pt>
                <c:pt idx="27">
                  <c:v>45848</c:v>
                </c:pt>
                <c:pt idx="28">
                  <c:v>45849</c:v>
                </c:pt>
                <c:pt idx="29">
                  <c:v>45850</c:v>
                </c:pt>
                <c:pt idx="30">
                  <c:v>45851</c:v>
                </c:pt>
                <c:pt idx="31">
                  <c:v>45852</c:v>
                </c:pt>
                <c:pt idx="32">
                  <c:v>45853</c:v>
                </c:pt>
                <c:pt idx="33">
                  <c:v>45854</c:v>
                </c:pt>
                <c:pt idx="34">
                  <c:v>45855</c:v>
                </c:pt>
                <c:pt idx="35">
                  <c:v>45856</c:v>
                </c:pt>
                <c:pt idx="36">
                  <c:v>45857</c:v>
                </c:pt>
                <c:pt idx="37">
                  <c:v>45858</c:v>
                </c:pt>
                <c:pt idx="38">
                  <c:v>45859</c:v>
                </c:pt>
                <c:pt idx="39">
                  <c:v>45860</c:v>
                </c:pt>
                <c:pt idx="40">
                  <c:v>45861</c:v>
                </c:pt>
                <c:pt idx="41">
                  <c:v>45862</c:v>
                </c:pt>
                <c:pt idx="42">
                  <c:v>45863</c:v>
                </c:pt>
                <c:pt idx="43">
                  <c:v>45864</c:v>
                </c:pt>
                <c:pt idx="44">
                  <c:v>45865</c:v>
                </c:pt>
                <c:pt idx="45">
                  <c:v>45866</c:v>
                </c:pt>
                <c:pt idx="46">
                  <c:v>45867</c:v>
                </c:pt>
                <c:pt idx="49">
                  <c:v>45870</c:v>
                </c:pt>
                <c:pt idx="50">
                  <c:v>45871</c:v>
                </c:pt>
                <c:pt idx="51">
                  <c:v>45872</c:v>
                </c:pt>
                <c:pt idx="52">
                  <c:v>45873</c:v>
                </c:pt>
                <c:pt idx="53">
                  <c:v>45874</c:v>
                </c:pt>
                <c:pt idx="54">
                  <c:v>45875</c:v>
                </c:pt>
                <c:pt idx="55">
                  <c:v>45876</c:v>
                </c:pt>
                <c:pt idx="56">
                  <c:v>45877</c:v>
                </c:pt>
                <c:pt idx="57">
                  <c:v>45878</c:v>
                </c:pt>
                <c:pt idx="58">
                  <c:v>45879</c:v>
                </c:pt>
                <c:pt idx="59">
                  <c:v>45880</c:v>
                </c:pt>
                <c:pt idx="60">
                  <c:v>45881</c:v>
                </c:pt>
                <c:pt idx="61">
                  <c:v>45882</c:v>
                </c:pt>
                <c:pt idx="62">
                  <c:v>45883</c:v>
                </c:pt>
                <c:pt idx="63">
                  <c:v>45884</c:v>
                </c:pt>
                <c:pt idx="64">
                  <c:v>45885</c:v>
                </c:pt>
                <c:pt idx="65">
                  <c:v>45886</c:v>
                </c:pt>
                <c:pt idx="66">
                  <c:v>45887</c:v>
                </c:pt>
                <c:pt idx="67">
                  <c:v>45888</c:v>
                </c:pt>
                <c:pt idx="68">
                  <c:v>45889</c:v>
                </c:pt>
                <c:pt idx="69">
                  <c:v>45890</c:v>
                </c:pt>
                <c:pt idx="70">
                  <c:v>45891</c:v>
                </c:pt>
                <c:pt idx="71">
                  <c:v>45892</c:v>
                </c:pt>
                <c:pt idx="72">
                  <c:v>45893</c:v>
                </c:pt>
                <c:pt idx="73">
                  <c:v>45894</c:v>
                </c:pt>
                <c:pt idx="74">
                  <c:v>45895</c:v>
                </c:pt>
                <c:pt idx="75">
                  <c:v>45896</c:v>
                </c:pt>
                <c:pt idx="76">
                  <c:v>45897</c:v>
                </c:pt>
                <c:pt idx="77">
                  <c:v>45898</c:v>
                </c:pt>
                <c:pt idx="78">
                  <c:v>45899</c:v>
                </c:pt>
                <c:pt idx="79">
                  <c:v>45900</c:v>
                </c:pt>
                <c:pt idx="80">
                  <c:v>45901</c:v>
                </c:pt>
                <c:pt idx="81">
                  <c:v>45902</c:v>
                </c:pt>
                <c:pt idx="82">
                  <c:v>45903</c:v>
                </c:pt>
                <c:pt idx="83">
                  <c:v>45904</c:v>
                </c:pt>
                <c:pt idx="84">
                  <c:v>45905</c:v>
                </c:pt>
                <c:pt idx="85">
                  <c:v>45906</c:v>
                </c:pt>
                <c:pt idx="86">
                  <c:v>45907</c:v>
                </c:pt>
                <c:pt idx="87">
                  <c:v>45908</c:v>
                </c:pt>
                <c:pt idx="88">
                  <c:v>45909</c:v>
                </c:pt>
                <c:pt idx="89">
                  <c:v>45910</c:v>
                </c:pt>
                <c:pt idx="90">
                  <c:v>45911</c:v>
                </c:pt>
                <c:pt idx="91">
                  <c:v>45912</c:v>
                </c:pt>
                <c:pt idx="92">
                  <c:v>45913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5302</c:v>
              </c:pt>
              <c:pt idx="1">
                <c:v>5275</c:v>
              </c:pt>
              <c:pt idx="2">
                <c:v>5284</c:v>
              </c:pt>
              <c:pt idx="3">
                <c:v>5282</c:v>
              </c:pt>
              <c:pt idx="4">
                <c:v>5263</c:v>
              </c:pt>
              <c:pt idx="5">
                <c:v>5271</c:v>
              </c:pt>
              <c:pt idx="6">
                <c:v>5269</c:v>
              </c:pt>
              <c:pt idx="7">
                <c:v>5205</c:v>
              </c:pt>
              <c:pt idx="8">
                <c:v>5143</c:v>
              </c:pt>
              <c:pt idx="9">
                <c:v>5105</c:v>
              </c:pt>
              <c:pt idx="10">
                <c:v>5208</c:v>
              </c:pt>
              <c:pt idx="11">
                <c:v>5229</c:v>
              </c:pt>
              <c:pt idx="12">
                <c:v>5212</c:v>
              </c:pt>
              <c:pt idx="13">
                <c:v>5210</c:v>
              </c:pt>
              <c:pt idx="14">
                <c:v>4915</c:v>
              </c:pt>
              <c:pt idx="15">
                <c:v>4921</c:v>
              </c:pt>
              <c:pt idx="16">
                <c:v>4957</c:v>
              </c:pt>
              <c:pt idx="17">
                <c:v>4949</c:v>
              </c:pt>
              <c:pt idx="18">
                <c:v>4904</c:v>
              </c:pt>
              <c:pt idx="19">
                <c:v>4997</c:v>
              </c:pt>
              <c:pt idx="20">
                <c:v>5008</c:v>
              </c:pt>
              <c:pt idx="21">
                <c:v>4962</c:v>
              </c:pt>
              <c:pt idx="22">
                <c:v>4967</c:v>
              </c:pt>
              <c:pt idx="23">
                <c:v>4997</c:v>
              </c:pt>
              <c:pt idx="24">
                <c:v>4981</c:v>
              </c:pt>
              <c:pt idx="25">
                <c:v>5022</c:v>
              </c:pt>
              <c:pt idx="26">
                <c:v>5108</c:v>
              </c:pt>
              <c:pt idx="27">
                <c:v>5210</c:v>
              </c:pt>
              <c:pt idx="28">
                <c:v>5213</c:v>
              </c:pt>
              <c:pt idx="29">
                <c:v>5205</c:v>
              </c:pt>
              <c:pt idx="30">
                <c:v>5221</c:v>
              </c:pt>
              <c:pt idx="31">
                <c:v>5244</c:v>
              </c:pt>
              <c:pt idx="32">
                <c:v>5314</c:v>
              </c:pt>
              <c:pt idx="33">
                <c:v>5444</c:v>
              </c:pt>
              <c:pt idx="34">
                <c:v>5503</c:v>
              </c:pt>
              <c:pt idx="35">
                <c:v>5542</c:v>
              </c:pt>
              <c:pt idx="36">
                <c:v>5567</c:v>
              </c:pt>
              <c:pt idx="37">
                <c:v>5659</c:v>
              </c:pt>
              <c:pt idx="38">
                <c:v>5663</c:v>
              </c:pt>
              <c:pt idx="39">
                <c:v>5654</c:v>
              </c:pt>
              <c:pt idx="40">
                <c:v>5588</c:v>
              </c:pt>
              <c:pt idx="41">
                <c:v>5632</c:v>
              </c:pt>
              <c:pt idx="42">
                <c:v>5642</c:v>
              </c:pt>
              <c:pt idx="43">
                <c:v>5651</c:v>
              </c:pt>
              <c:pt idx="44">
                <c:v>5724</c:v>
              </c:pt>
              <c:pt idx="45">
                <c:v>5683</c:v>
              </c:pt>
              <c:pt idx="46">
                <c:v>5680</c:v>
              </c:pt>
              <c:pt idx="47">
                <c:v>5689</c:v>
              </c:pt>
              <c:pt idx="48">
                <c:v>5627</c:v>
              </c:pt>
              <c:pt idx="49">
                <c:v>5120</c:v>
              </c:pt>
              <c:pt idx="50">
                <c:v>5018</c:v>
              </c:pt>
              <c:pt idx="51">
                <c:v>5131</c:v>
              </c:pt>
              <c:pt idx="52">
                <c:v>5328</c:v>
              </c:pt>
              <c:pt idx="53">
                <c:v>5204</c:v>
              </c:pt>
              <c:pt idx="54">
                <c:v>5284</c:v>
              </c:pt>
              <c:pt idx="55">
                <c:v>5506</c:v>
              </c:pt>
              <c:pt idx="56">
                <c:v>5582</c:v>
              </c:pt>
              <c:pt idx="57">
                <c:v>5761</c:v>
              </c:pt>
              <c:pt idx="58">
                <c:v>5768</c:v>
              </c:pt>
              <c:pt idx="59">
                <c:v>5681</c:v>
              </c:pt>
              <c:pt idx="60">
                <c:v>6035</c:v>
              </c:pt>
              <c:pt idx="61">
                <c:v>6222</c:v>
              </c:pt>
              <c:pt idx="62">
                <c:v>6028</c:v>
              </c:pt>
              <c:pt idx="63">
                <c:v>5933</c:v>
              </c:pt>
              <c:pt idx="64">
                <c:v>5946</c:v>
              </c:pt>
              <c:pt idx="65">
                <c:v>6015</c:v>
              </c:pt>
              <c:pt idx="66">
                <c:v>5852</c:v>
              </c:pt>
              <c:pt idx="67">
                <c:v>5606</c:v>
              </c:pt>
              <c:pt idx="68">
                <c:v>5882</c:v>
              </c:pt>
              <c:pt idx="69">
                <c:v>5735</c:v>
              </c:pt>
              <c:pt idx="70">
                <c:v>6302</c:v>
              </c:pt>
              <c:pt idx="71">
                <c:v>6260</c:v>
              </c:pt>
              <c:pt idx="72">
                <c:v>6254</c:v>
              </c:pt>
              <c:pt idx="73">
                <c:v>5832</c:v>
              </c:pt>
              <c:pt idx="74">
                <c:v>6053</c:v>
              </c:pt>
              <c:pt idx="75">
                <c:v>6006</c:v>
              </c:pt>
              <c:pt idx="76">
                <c:v>6083</c:v>
              </c:pt>
              <c:pt idx="77">
                <c:v>5905</c:v>
              </c:pt>
              <c:pt idx="78">
                <c:v>5904</c:v>
              </c:pt>
              <c:pt idx="79">
                <c:v>5891</c:v>
              </c:pt>
              <c:pt idx="80">
                <c:v>5808</c:v>
              </c:pt>
              <c:pt idx="81">
                <c:v>5901</c:v>
              </c:pt>
              <c:pt idx="82">
                <c:v>5988</c:v>
              </c:pt>
              <c:pt idx="83">
                <c:v>5825</c:v>
              </c:pt>
              <c:pt idx="84">
                <c:v>5859</c:v>
              </c:pt>
              <c:pt idx="85">
                <c:v>5827</c:v>
              </c:pt>
              <c:pt idx="86">
                <c:v>5902</c:v>
              </c:pt>
              <c:pt idx="87">
                <c:v>6008</c:v>
              </c:pt>
              <c:pt idx="88">
                <c:v>6090</c:v>
              </c:pt>
              <c:pt idx="89">
                <c:v>6181</c:v>
              </c:pt>
              <c:pt idx="90">
                <c:v>6266</c:v>
              </c:pt>
              <c:pt idx="91">
                <c:v>6487</c:v>
              </c:pt>
              <c:pt idx="92">
                <c:v>6524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447675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133350</xdr:rowOff>
        </xdr:from>
        <xdr:to>
          <xdr:col>9</xdr:col>
          <xdr:colOff>609600</xdr:colOff>
          <xdr:row>2</xdr:row>
          <xdr:rowOff>190500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17</xdr:col>
      <xdr:colOff>629966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247160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731048</xdr:colOff>
      <xdr:row>4</xdr:row>
      <xdr:rowOff>4991</xdr:rowOff>
    </xdr:from>
    <xdr:to>
      <xdr:col>21</xdr:col>
      <xdr:colOff>252827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17846</xdr:rowOff>
    </xdr:from>
    <xdr:to>
      <xdr:col>12</xdr:col>
      <xdr:colOff>444500</xdr:colOff>
      <xdr:row>15</xdr:row>
      <xdr:rowOff>136088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106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5" customWidth="1"/>
    <col min="2" max="2" width="11.42578125" style="95" customWidth="1"/>
    <col min="3" max="16384" width="9.140625" style="95"/>
  </cols>
  <sheetData>
    <row r="2" spans="1:10" x14ac:dyDescent="0.2">
      <c r="A2" s="95" t="s">
        <v>151</v>
      </c>
      <c r="B2" s="98">
        <v>45870</v>
      </c>
    </row>
    <row r="3" spans="1:10" x14ac:dyDescent="0.2">
      <c r="A3" s="95" t="s">
        <v>152</v>
      </c>
      <c r="B3" s="98">
        <v>45899</v>
      </c>
    </row>
    <row r="5" spans="1:10" x14ac:dyDescent="0.2">
      <c r="A5" s="99"/>
      <c r="E5" s="100"/>
      <c r="J5" s="9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45" zoomScaleNormal="145" workbookViewId="0">
      <selection activeCell="E4" sqref="E4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14.85546875" customWidth="1"/>
    <col min="19" max="19" width="11.5703125" customWidth="1"/>
    <col min="16383" max="16384" width="0" hidden="1" customWidth="1"/>
  </cols>
  <sheetData>
    <row r="1" spans="1:16 16383:16384" ht="15.75" customHeight="1" x14ac:dyDescent="0.25">
      <c r="A1" s="122" t="s">
        <v>670</v>
      </c>
      <c r="B1" s="123"/>
      <c r="C1" s="123"/>
      <c r="D1" s="121"/>
      <c r="E1" s="3"/>
      <c r="G1" s="3"/>
      <c r="H1" s="3"/>
    </row>
    <row r="2" spans="1:16 16383:16384" ht="15.75" customHeight="1" x14ac:dyDescent="0.2">
      <c r="A2" s="74"/>
      <c r="B2" s="75"/>
      <c r="C2" s="75"/>
      <c r="D2" s="3"/>
      <c r="E2" s="3"/>
      <c r="G2" s="3"/>
      <c r="H2" s="3"/>
      <c r="XFC2" s="179">
        <v>45821</v>
      </c>
      <c r="XFD2" s="120">
        <v>45809</v>
      </c>
    </row>
    <row r="3" spans="1:16 16383:16384" ht="15.75" customHeight="1" x14ac:dyDescent="0.2">
      <c r="A3" s="93" t="s">
        <v>685</v>
      </c>
      <c r="B3" s="76">
        <v>45913</v>
      </c>
      <c r="C3" s="3" t="s">
        <v>140</v>
      </c>
      <c r="F3" s="56"/>
      <c r="H3" s="3"/>
      <c r="N3" s="56"/>
      <c r="O3" s="10"/>
      <c r="P3" s="10"/>
      <c r="XFC3" s="179">
        <v>45822</v>
      </c>
      <c r="XFD3" s="120">
        <v>45810</v>
      </c>
    </row>
    <row r="4" spans="1:16 16383:16384" ht="15.75" customHeight="1" x14ac:dyDescent="0.2">
      <c r="A4" s="93"/>
      <c r="B4" s="3"/>
      <c r="C4" s="3"/>
      <c r="F4" s="56"/>
      <c r="H4" s="3"/>
      <c r="O4" s="10"/>
      <c r="P4" s="10"/>
      <c r="XFC4" s="179">
        <v>45823</v>
      </c>
      <c r="XFD4" s="120">
        <v>45811</v>
      </c>
    </row>
    <row r="5" spans="1:16 16383:16384" ht="15.75" customHeight="1" x14ac:dyDescent="0.2">
      <c r="A5" s="146" t="s">
        <v>671</v>
      </c>
      <c r="B5" s="146"/>
      <c r="C5" s="146"/>
      <c r="F5" s="56"/>
      <c r="H5" s="3"/>
      <c r="O5" s="10"/>
      <c r="P5" s="10"/>
      <c r="XFC5" s="179">
        <v>45824</v>
      </c>
      <c r="XFD5" s="120">
        <v>45812</v>
      </c>
    </row>
    <row r="6" spans="1:16 16383:16384" ht="15.75" customHeight="1" x14ac:dyDescent="0.2">
      <c r="A6" s="5"/>
      <c r="B6" s="24"/>
      <c r="C6" s="124" t="s">
        <v>677</v>
      </c>
      <c r="D6" s="152" t="s">
        <v>672</v>
      </c>
      <c r="E6" s="152"/>
      <c r="F6" s="56"/>
      <c r="H6" s="3"/>
      <c r="O6" s="10"/>
      <c r="P6" s="10"/>
      <c r="XFC6" s="179">
        <v>45825</v>
      </c>
      <c r="XFD6" s="120">
        <v>45813</v>
      </c>
    </row>
    <row r="7" spans="1:16 16383:16384" ht="15.75" customHeight="1" x14ac:dyDescent="0.2">
      <c r="A7" s="113" t="s">
        <v>142</v>
      </c>
      <c r="B7" s="24">
        <v>902</v>
      </c>
      <c r="C7" s="125"/>
      <c r="F7" s="56"/>
      <c r="H7" s="3"/>
      <c r="O7" s="10"/>
      <c r="P7" s="10"/>
      <c r="XFC7" s="179">
        <v>45826</v>
      </c>
      <c r="XFD7" s="120">
        <v>45814</v>
      </c>
    </row>
    <row r="8" spans="1:16 16383:16384" ht="15.75" customHeight="1" x14ac:dyDescent="0.2">
      <c r="A8" s="113" t="s">
        <v>113</v>
      </c>
      <c r="B8" s="24">
        <v>5637</v>
      </c>
      <c r="C8" s="125"/>
      <c r="F8" s="56"/>
      <c r="H8" s="3"/>
      <c r="O8" s="10"/>
      <c r="P8" s="10"/>
      <c r="XFC8" s="179">
        <v>45827</v>
      </c>
      <c r="XFD8" s="120">
        <v>45815</v>
      </c>
    </row>
    <row r="9" spans="1:16 16383:16384" ht="15.75" customHeight="1" x14ac:dyDescent="0.2">
      <c r="A9" s="94" t="s">
        <v>0</v>
      </c>
      <c r="B9" s="75">
        <v>6538</v>
      </c>
      <c r="C9">
        <f>storage!B3+storage!B4</f>
        <v>6501</v>
      </c>
      <c r="D9" s="171" t="s">
        <v>687</v>
      </c>
      <c r="E9" s="148"/>
      <c r="F9" s="56"/>
      <c r="H9" s="3"/>
      <c r="O9" s="10"/>
      <c r="P9" s="10"/>
      <c r="XFC9" s="179">
        <v>45828</v>
      </c>
      <c r="XFD9" s="120">
        <v>45816</v>
      </c>
    </row>
    <row r="10" spans="1:16 16383:16384" ht="15.75" customHeight="1" x14ac:dyDescent="0.2">
      <c r="A10" s="113" t="s">
        <v>679</v>
      </c>
      <c r="B10" s="24">
        <v>6538</v>
      </c>
      <c r="F10" s="56"/>
      <c r="H10" s="3"/>
      <c r="O10" s="10"/>
      <c r="P10" s="10"/>
      <c r="XFC10" s="179">
        <v>45829</v>
      </c>
      <c r="XFD10" s="120">
        <v>45817</v>
      </c>
    </row>
    <row r="11" spans="1:16 16383:16384" ht="15.75" customHeight="1" x14ac:dyDescent="0.2">
      <c r="A11" s="113" t="s">
        <v>680</v>
      </c>
      <c r="B11" s="24">
        <v>4904</v>
      </c>
      <c r="F11" s="56"/>
      <c r="H11" s="3"/>
      <c r="O11" s="10"/>
      <c r="P11" s="10"/>
      <c r="XFC11" s="179">
        <v>45830</v>
      </c>
      <c r="XFD11" s="120">
        <v>45818</v>
      </c>
    </row>
    <row r="12" spans="1:16 16383:16384" ht="15.75" customHeight="1" x14ac:dyDescent="0.2">
      <c r="A12" s="93" t="s">
        <v>655</v>
      </c>
      <c r="B12" s="116">
        <v>2.1413276231263384E-3</v>
      </c>
      <c r="C12" s="41">
        <v>3.3000000000000002E-2</v>
      </c>
      <c r="D12" s="147"/>
      <c r="E12" s="147"/>
      <c r="F12" s="56"/>
      <c r="H12" s="3"/>
      <c r="O12" s="10"/>
      <c r="P12" s="10"/>
      <c r="XFC12" s="179">
        <v>45831</v>
      </c>
      <c r="XFD12" s="120">
        <v>45819</v>
      </c>
    </row>
    <row r="13" spans="1:16 16383:16384" ht="15.75" customHeight="1" x14ac:dyDescent="0.2">
      <c r="A13" s="10" t="s">
        <v>108</v>
      </c>
      <c r="B13" s="102">
        <v>4629</v>
      </c>
      <c r="D13" s="84"/>
      <c r="F13" s="56"/>
      <c r="H13" s="3"/>
      <c r="O13" s="10"/>
      <c r="P13" s="10"/>
      <c r="XFC13" s="179">
        <v>45832</v>
      </c>
      <c r="XFD13" s="120">
        <v>45820</v>
      </c>
    </row>
    <row r="14" spans="1:16 16383:16384" ht="15.75" customHeight="1" x14ac:dyDescent="0.2">
      <c r="A14" s="10" t="s">
        <v>109</v>
      </c>
      <c r="B14" s="102">
        <v>300</v>
      </c>
      <c r="C14" s="93"/>
      <c r="D14" s="84"/>
      <c r="F14" s="56"/>
      <c r="H14" s="3"/>
      <c r="O14" s="10"/>
      <c r="P14" s="10"/>
      <c r="XFC14" s="179">
        <v>45833</v>
      </c>
      <c r="XFD14" s="120">
        <v>45821</v>
      </c>
    </row>
    <row r="15" spans="1:16 16383:16384" ht="15.75" customHeight="1" x14ac:dyDescent="0.2">
      <c r="A15" s="93" t="s">
        <v>110</v>
      </c>
      <c r="B15" s="84">
        <v>2210</v>
      </c>
      <c r="C15" s="93"/>
      <c r="D15" s="84"/>
      <c r="F15" s="56"/>
      <c r="H15" s="3"/>
      <c r="O15" s="10"/>
      <c r="P15" s="10"/>
      <c r="XFC15" s="179">
        <v>45834</v>
      </c>
      <c r="XFD15" s="120">
        <v>45822</v>
      </c>
    </row>
    <row r="16" spans="1:16 16383:16384" ht="15.75" customHeight="1" x14ac:dyDescent="0.2">
      <c r="B16" s="84"/>
      <c r="C16" s="93"/>
      <c r="D16" s="84"/>
      <c r="F16" s="56"/>
      <c r="H16" s="3"/>
      <c r="O16" s="10"/>
      <c r="P16" s="10"/>
      <c r="XFC16" s="179">
        <v>45835</v>
      </c>
      <c r="XFD16" s="120">
        <v>45823</v>
      </c>
    </row>
    <row r="17" spans="1:17 16383:16384" ht="15.75" customHeight="1" x14ac:dyDescent="0.2">
      <c r="A17" s="146" t="s">
        <v>45</v>
      </c>
      <c r="B17" s="146"/>
      <c r="C17" s="146"/>
      <c r="D17" s="84"/>
      <c r="F17" s="56"/>
      <c r="H17" s="3"/>
      <c r="O17" s="10"/>
      <c r="P17" s="10"/>
      <c r="XFC17" s="179">
        <v>45836</v>
      </c>
      <c r="XFD17" s="120">
        <v>45824</v>
      </c>
    </row>
    <row r="18" spans="1:17 16383:16384" ht="15.75" customHeight="1" x14ac:dyDescent="0.2">
      <c r="A18" s="93" t="s">
        <v>656</v>
      </c>
      <c r="B18" s="112">
        <v>0.86</v>
      </c>
      <c r="C18" s="115">
        <v>0.86</v>
      </c>
      <c r="D18" s="151" t="s">
        <v>686</v>
      </c>
      <c r="E18" s="150"/>
      <c r="F18" s="56"/>
      <c r="H18" s="3"/>
      <c r="O18" s="10"/>
      <c r="P18" s="10"/>
      <c r="XFC18" s="179">
        <v>45837</v>
      </c>
      <c r="XFD18" s="120">
        <v>45825</v>
      </c>
    </row>
    <row r="19" spans="1:17 16383:16384" ht="15.75" customHeight="1" x14ac:dyDescent="0.2">
      <c r="A19" s="93" t="s">
        <v>657</v>
      </c>
      <c r="B19" s="112">
        <v>0</v>
      </c>
      <c r="C19" s="115">
        <v>0</v>
      </c>
      <c r="D19" s="149"/>
      <c r="E19" s="150"/>
      <c r="F19" s="56"/>
      <c r="H19" s="3"/>
      <c r="O19" s="10"/>
      <c r="P19" s="10"/>
      <c r="XFC19" s="179">
        <v>45838</v>
      </c>
      <c r="XFD19" s="120">
        <v>45826</v>
      </c>
    </row>
    <row r="20" spans="1:17 16383:16384" ht="15.75" customHeight="1" x14ac:dyDescent="0.2">
      <c r="A20" s="93" t="s">
        <v>658</v>
      </c>
      <c r="B20" s="112">
        <v>0.86</v>
      </c>
      <c r="C20" s="115">
        <v>0.8</v>
      </c>
      <c r="D20" s="151" t="s">
        <v>681</v>
      </c>
      <c r="E20" s="150"/>
      <c r="F20" s="56"/>
      <c r="H20" s="3"/>
      <c r="O20" s="10"/>
      <c r="P20" s="10"/>
      <c r="XFC20" s="179">
        <v>45839</v>
      </c>
      <c r="XFD20" s="120">
        <v>45827</v>
      </c>
    </row>
    <row r="21" spans="1:17 16383:16384" ht="15.75" customHeight="1" x14ac:dyDescent="0.2">
      <c r="A21" s="10" t="s">
        <v>659</v>
      </c>
      <c r="B21" s="102">
        <v>5</v>
      </c>
      <c r="C21" s="10">
        <v>4</v>
      </c>
      <c r="D21" s="151" t="s">
        <v>682</v>
      </c>
      <c r="E21" s="150"/>
      <c r="F21" s="56"/>
      <c r="H21" s="3"/>
      <c r="O21" s="10"/>
      <c r="P21" s="10"/>
      <c r="XFC21" s="179">
        <v>45840</v>
      </c>
      <c r="XFD21" s="120">
        <v>45828</v>
      </c>
    </row>
    <row r="22" spans="1:17 16383:16384" ht="15.75" customHeight="1" x14ac:dyDescent="0.2">
      <c r="A22" s="93" t="s">
        <v>660</v>
      </c>
      <c r="B22" s="112">
        <v>0.14000000000000001</v>
      </c>
      <c r="C22" s="115">
        <v>0.1</v>
      </c>
      <c r="D22" s="151" t="s">
        <v>683</v>
      </c>
      <c r="E22" s="150"/>
      <c r="F22" s="56"/>
      <c r="H22" s="3"/>
      <c r="O22" s="10"/>
      <c r="P22" s="10"/>
      <c r="XFC22" s="179">
        <v>45841</v>
      </c>
      <c r="XFD22" s="120">
        <v>45829</v>
      </c>
    </row>
    <row r="23" spans="1:17 16383:16384" ht="15.75" customHeight="1" x14ac:dyDescent="0.2">
      <c r="A23" s="10" t="s">
        <v>661</v>
      </c>
      <c r="B23" s="102">
        <v>11</v>
      </c>
      <c r="C23" s="10">
        <v>10</v>
      </c>
      <c r="D23" s="151" t="s">
        <v>684</v>
      </c>
      <c r="E23" s="150"/>
      <c r="F23" s="56"/>
      <c r="H23" s="3"/>
      <c r="O23" s="10"/>
      <c r="P23" s="10"/>
      <c r="XFC23" s="179">
        <v>45842</v>
      </c>
      <c r="XFD23" s="120">
        <v>45830</v>
      </c>
    </row>
    <row r="24" spans="1:17 16383:16384" ht="15.75" customHeight="1" x14ac:dyDescent="0.2">
      <c r="A24" s="93" t="s">
        <v>662</v>
      </c>
      <c r="B24" s="112">
        <v>0</v>
      </c>
      <c r="C24" s="115">
        <v>0</v>
      </c>
      <c r="D24" s="149"/>
      <c r="E24" s="150"/>
      <c r="F24" s="56"/>
      <c r="H24" s="3"/>
      <c r="O24" s="10"/>
      <c r="P24" s="10"/>
      <c r="XFC24" s="179">
        <v>45843</v>
      </c>
      <c r="XFD24" s="120">
        <v>45831</v>
      </c>
    </row>
    <row r="25" spans="1:17 16383:16384" ht="15.75" customHeight="1" x14ac:dyDescent="0.2">
      <c r="A25" s="10" t="s">
        <v>663</v>
      </c>
      <c r="B25" s="102">
        <v>0</v>
      </c>
      <c r="C25" s="10"/>
      <c r="D25" s="149"/>
      <c r="E25" s="150"/>
      <c r="F25" s="56"/>
      <c r="H25" s="3"/>
      <c r="O25" s="10"/>
      <c r="P25" s="10"/>
      <c r="XFC25" s="179">
        <v>45844</v>
      </c>
      <c r="XFD25" s="120">
        <v>45832</v>
      </c>
    </row>
    <row r="26" spans="1:17 16383:16384" ht="15.75" customHeight="1" x14ac:dyDescent="0.2">
      <c r="A26" s="10"/>
      <c r="B26" s="102"/>
      <c r="C26" s="93"/>
      <c r="D26" s="84"/>
      <c r="E26" s="84"/>
      <c r="F26" s="56"/>
      <c r="H26" s="3"/>
      <c r="O26" s="10"/>
      <c r="P26" s="10"/>
      <c r="XFC26" s="179">
        <v>45845</v>
      </c>
      <c r="XFD26" s="120"/>
    </row>
    <row r="27" spans="1:17 16383:16384" ht="15.75" customHeight="1" x14ac:dyDescent="0.2">
      <c r="A27" s="10"/>
      <c r="B27" s="102"/>
      <c r="C27" s="93"/>
      <c r="D27" s="84"/>
      <c r="E27" s="84"/>
      <c r="F27" s="56"/>
      <c r="H27" s="3"/>
      <c r="O27" s="10"/>
      <c r="P27" s="10"/>
      <c r="XFC27" s="179">
        <v>45846</v>
      </c>
      <c r="XFD27" s="120"/>
    </row>
    <row r="28" spans="1:17 16383:16384" ht="15.75" customHeight="1" x14ac:dyDescent="0.2">
      <c r="A28" s="10"/>
      <c r="B28" s="102"/>
      <c r="C28" s="93"/>
      <c r="D28" s="84"/>
      <c r="E28" s="84"/>
      <c r="F28" s="56"/>
      <c r="H28" s="3"/>
      <c r="O28" s="10"/>
      <c r="P28" s="10"/>
      <c r="XFC28" s="179">
        <v>45847</v>
      </c>
      <c r="XFD28" s="120"/>
    </row>
    <row r="29" spans="1:17 16383:16384" ht="15.75" customHeight="1" x14ac:dyDescent="0.2">
      <c r="A29" s="146" t="s">
        <v>129</v>
      </c>
      <c r="B29" s="146"/>
      <c r="C29" s="146"/>
      <c r="D29" s="84"/>
      <c r="E29" s="84"/>
      <c r="F29" s="56"/>
      <c r="H29" s="3"/>
      <c r="O29" s="10"/>
      <c r="P29" s="10"/>
      <c r="XFC29" s="179">
        <v>45848</v>
      </c>
      <c r="XFD29" s="120"/>
    </row>
    <row r="30" spans="1:17 16383:16384" ht="31.5" customHeight="1" x14ac:dyDescent="0.2">
      <c r="A30" s="11" t="s">
        <v>123</v>
      </c>
      <c r="B30" s="11" t="s">
        <v>113</v>
      </c>
      <c r="C30" s="11" t="s">
        <v>124</v>
      </c>
      <c r="D30" s="11" t="s">
        <v>125</v>
      </c>
      <c r="E30" s="11" t="s">
        <v>126</v>
      </c>
      <c r="F30" s="11" t="s">
        <v>127</v>
      </c>
      <c r="G30" s="11" t="s">
        <v>128</v>
      </c>
      <c r="H30" s="11" t="s">
        <v>130</v>
      </c>
      <c r="I30" s="11" t="s">
        <v>131</v>
      </c>
      <c r="J30" s="11" t="s">
        <v>132</v>
      </c>
      <c r="K30" s="11" t="s">
        <v>133</v>
      </c>
      <c r="L30" s="11" t="s">
        <v>136</v>
      </c>
      <c r="M30" s="11" t="s">
        <v>135</v>
      </c>
      <c r="N30" s="11" t="s">
        <v>678</v>
      </c>
      <c r="O30" s="11" t="s">
        <v>137</v>
      </c>
      <c r="P30" s="11" t="s">
        <v>139</v>
      </c>
      <c r="Q30" s="34" t="s">
        <v>138</v>
      </c>
      <c r="XFC30" s="179">
        <v>45849</v>
      </c>
      <c r="XFD30" s="120">
        <v>45834</v>
      </c>
    </row>
    <row r="31" spans="1:17 16383:16384" ht="15.75" customHeight="1" x14ac:dyDescent="0.2">
      <c r="A31" s="77" t="s">
        <v>160</v>
      </c>
      <c r="B31" s="77" t="s">
        <v>34</v>
      </c>
      <c r="C31" s="182">
        <v>45383.458333333336</v>
      </c>
      <c r="D31" s="187"/>
      <c r="E31" s="166">
        <v>0.60499999999999998</v>
      </c>
      <c r="F31" s="127">
        <v>1688</v>
      </c>
      <c r="G31" s="184">
        <v>2789.06</v>
      </c>
      <c r="H31" s="78">
        <v>4721.82</v>
      </c>
      <c r="I31" s="166">
        <v>0</v>
      </c>
      <c r="J31" s="127">
        <v>0</v>
      </c>
      <c r="K31" s="128"/>
      <c r="L31" s="170">
        <v>0.60499999999999998</v>
      </c>
      <c r="M31" s="79">
        <v>2857</v>
      </c>
      <c r="N31" s="142">
        <v>0.43694655633866397</v>
      </c>
      <c r="O31" s="101">
        <v>1170</v>
      </c>
      <c r="P31" s="117">
        <v>0.69297962480345199</v>
      </c>
      <c r="Q31" s="80" t="s">
        <v>61</v>
      </c>
      <c r="XFC31" s="179">
        <v>45850</v>
      </c>
      <c r="XFD31" s="120">
        <v>45835</v>
      </c>
    </row>
    <row r="32" spans="1:17 16383:16384" ht="15.75" customHeight="1" x14ac:dyDescent="0.2">
      <c r="A32" s="82" t="s">
        <v>160</v>
      </c>
      <c r="B32" s="154" t="s">
        <v>35</v>
      </c>
      <c r="C32" s="136">
        <v>45870.458333333336</v>
      </c>
      <c r="D32" s="136"/>
      <c r="E32" s="168">
        <v>4.0439999999999996</v>
      </c>
      <c r="F32" s="156">
        <v>658</v>
      </c>
      <c r="G32" s="137">
        <v>162.71</v>
      </c>
      <c r="H32" s="130">
        <v>242.94</v>
      </c>
      <c r="I32" s="170">
        <v>0</v>
      </c>
      <c r="J32" s="79">
        <v>0</v>
      </c>
      <c r="K32" s="137"/>
      <c r="L32" s="166">
        <v>4.0439999999999996</v>
      </c>
      <c r="M32" s="141">
        <v>982</v>
      </c>
      <c r="N32" s="143">
        <v>0.1501860407156346</v>
      </c>
      <c r="O32" s="144">
        <v>324</v>
      </c>
      <c r="P32" s="117">
        <v>0.49308585827545909</v>
      </c>
      <c r="Q32" s="81" t="s">
        <v>67</v>
      </c>
      <c r="XFC32" s="179">
        <v>45851</v>
      </c>
      <c r="XFD32" s="120">
        <v>45836</v>
      </c>
    </row>
    <row r="33" spans="1:17 16383:16384" ht="15" customHeight="1" x14ac:dyDescent="0.2">
      <c r="A33" s="160" t="s">
        <v>160</v>
      </c>
      <c r="B33" s="160" t="s">
        <v>80</v>
      </c>
      <c r="C33" s="134">
        <v>45870.458333333336</v>
      </c>
      <c r="D33" s="134"/>
      <c r="E33" s="166">
        <v>0.58599999999999997</v>
      </c>
      <c r="F33" s="127">
        <v>444</v>
      </c>
      <c r="G33" s="158">
        <v>757.8</v>
      </c>
      <c r="H33" s="128">
        <v>929.8</v>
      </c>
      <c r="I33" s="166">
        <v>0</v>
      </c>
      <c r="J33" s="127">
        <v>0</v>
      </c>
      <c r="K33" s="128"/>
      <c r="L33" s="166">
        <v>0.58599999999999997</v>
      </c>
      <c r="M33" s="127">
        <v>545</v>
      </c>
      <c r="N33" s="131">
        <v>8.3351723207760547E-2</v>
      </c>
      <c r="O33" s="132">
        <v>101</v>
      </c>
      <c r="P33" s="133">
        <v>0.22697281604645017</v>
      </c>
      <c r="Q33" s="81" t="s">
        <v>61</v>
      </c>
      <c r="XFC33" s="179">
        <v>45852</v>
      </c>
      <c r="XFD33" s="120">
        <v>45837</v>
      </c>
    </row>
    <row r="34" spans="1:17 16383:16384" ht="15.75" customHeight="1" x14ac:dyDescent="0.2">
      <c r="A34" s="82" t="s">
        <v>160</v>
      </c>
      <c r="B34" s="82" t="s">
        <v>37</v>
      </c>
      <c r="C34" s="155">
        <v>45870.458333333336</v>
      </c>
      <c r="D34" s="155"/>
      <c r="E34" s="166">
        <v>408.81</v>
      </c>
      <c r="F34" s="127">
        <v>292</v>
      </c>
      <c r="G34" s="78">
        <v>0.71</v>
      </c>
      <c r="H34" s="128">
        <v>0.94469999999999998</v>
      </c>
      <c r="I34" s="169">
        <v>0</v>
      </c>
      <c r="J34" s="156">
        <v>0</v>
      </c>
      <c r="K34" s="158"/>
      <c r="L34" s="166">
        <v>408.81</v>
      </c>
      <c r="M34" s="156">
        <v>386</v>
      </c>
      <c r="N34" s="161">
        <v>5.9034431482927648E-2</v>
      </c>
      <c r="O34" s="163">
        <v>94</v>
      </c>
      <c r="P34" s="165">
        <v>0.32292396022965975</v>
      </c>
      <c r="Q34" s="81" t="s">
        <v>61</v>
      </c>
      <c r="XFC34" s="179">
        <v>45853</v>
      </c>
      <c r="XFD34" s="120">
        <v>45838</v>
      </c>
    </row>
    <row r="35" spans="1:17 16383:16384" ht="15.75" customHeight="1" x14ac:dyDescent="0.2">
      <c r="A35" s="14" t="s">
        <v>160</v>
      </c>
      <c r="B35" s="82" t="s">
        <v>79</v>
      </c>
      <c r="C35" s="173">
        <v>45870.458333333336</v>
      </c>
      <c r="D35" s="173"/>
      <c r="E35" s="167">
        <v>93.75</v>
      </c>
      <c r="F35" s="23">
        <v>90</v>
      </c>
      <c r="G35" s="129">
        <v>0.96</v>
      </c>
      <c r="H35" s="69">
        <v>1.6220000000000001</v>
      </c>
      <c r="I35" s="175">
        <v>0</v>
      </c>
      <c r="J35" s="157">
        <v>0</v>
      </c>
      <c r="K35" s="159"/>
      <c r="L35" s="167">
        <v>93.75</v>
      </c>
      <c r="M35" s="157">
        <v>152</v>
      </c>
      <c r="N35" s="176">
        <v>2.3246719133173582E-2</v>
      </c>
      <c r="O35" s="177">
        <v>62</v>
      </c>
      <c r="P35" s="178">
        <v>0.68257261410788383</v>
      </c>
      <c r="Q35" s="81" t="s">
        <v>67</v>
      </c>
      <c r="XFC35" s="179">
        <v>45854</v>
      </c>
      <c r="XFD35" s="120">
        <v>45839</v>
      </c>
    </row>
    <row r="36" spans="1:17 16383:16384" ht="15.75" customHeight="1" x14ac:dyDescent="0.2">
      <c r="A36" s="82" t="s">
        <v>160</v>
      </c>
      <c r="B36" s="82" t="s">
        <v>154</v>
      </c>
      <c r="C36" s="155">
        <v>45909.458333333336</v>
      </c>
      <c r="D36" s="155"/>
      <c r="E36" s="166">
        <v>81.92</v>
      </c>
      <c r="F36" s="127">
        <v>100</v>
      </c>
      <c r="G36" s="78">
        <v>1.22</v>
      </c>
      <c r="H36" s="174">
        <v>1.7375</v>
      </c>
      <c r="I36" s="166">
        <v>0</v>
      </c>
      <c r="J36" s="127">
        <v>0</v>
      </c>
      <c r="K36" s="128"/>
      <c r="L36" s="169">
        <v>81.92</v>
      </c>
      <c r="M36" s="156">
        <v>142</v>
      </c>
      <c r="N36" s="161">
        <v>2.1717329716517426E-2</v>
      </c>
      <c r="O36" s="163">
        <v>42</v>
      </c>
      <c r="P36" s="165">
        <v>0.42336364381092839</v>
      </c>
      <c r="Q36" s="81" t="s">
        <v>141</v>
      </c>
      <c r="XFC36" s="179">
        <v>45855</v>
      </c>
      <c r="XFD36" s="120">
        <v>45840</v>
      </c>
    </row>
    <row r="37" spans="1:17 16383:16384" ht="15.75" customHeight="1" x14ac:dyDescent="0.2">
      <c r="A37" s="82" t="s">
        <v>160</v>
      </c>
      <c r="B37" s="82" t="s">
        <v>155</v>
      </c>
      <c r="C37" s="155">
        <v>45909.458333333336</v>
      </c>
      <c r="D37" s="183"/>
      <c r="E37" s="166">
        <v>1.97</v>
      </c>
      <c r="F37" s="156">
        <v>100</v>
      </c>
      <c r="G37" s="138">
        <v>50.74</v>
      </c>
      <c r="H37" s="128">
        <v>55.52</v>
      </c>
      <c r="I37" s="169">
        <v>0</v>
      </c>
      <c r="J37" s="181">
        <v>0</v>
      </c>
      <c r="K37" s="158"/>
      <c r="L37" s="166">
        <v>1.97</v>
      </c>
      <c r="M37" s="156">
        <v>109</v>
      </c>
      <c r="N37" s="161">
        <v>1.667034464155211E-2</v>
      </c>
      <c r="O37" s="163">
        <v>9</v>
      </c>
      <c r="P37" s="165">
        <v>9.4205754828537658E-2</v>
      </c>
      <c r="Q37" s="81" t="s">
        <v>141</v>
      </c>
      <c r="XFC37" s="179">
        <v>45856</v>
      </c>
      <c r="XFD37" s="120">
        <v>45841</v>
      </c>
    </row>
    <row r="38" spans="1:17 16383:16384" ht="15.75" customHeight="1" x14ac:dyDescent="0.2">
      <c r="A38" s="14" t="s">
        <v>160</v>
      </c>
      <c r="B38" s="82" t="s">
        <v>101</v>
      </c>
      <c r="C38" s="173">
        <v>45870.458333333336</v>
      </c>
      <c r="D38" s="173"/>
      <c r="E38" s="167">
        <v>25.1</v>
      </c>
      <c r="F38" s="23">
        <v>87</v>
      </c>
      <c r="G38" s="140">
        <v>3.45</v>
      </c>
      <c r="H38" s="159">
        <v>3.8117999999999999</v>
      </c>
      <c r="I38" s="167">
        <v>0</v>
      </c>
      <c r="J38" s="23">
        <v>0</v>
      </c>
      <c r="K38" s="69"/>
      <c r="L38" s="175">
        <v>25.1</v>
      </c>
      <c r="M38" s="157">
        <v>96</v>
      </c>
      <c r="N38" s="176">
        <v>1.4682138399899104E-2</v>
      </c>
      <c r="O38" s="177">
        <v>9</v>
      </c>
      <c r="P38" s="178">
        <v>0.10486956521739116</v>
      </c>
      <c r="Q38" s="81" t="s">
        <v>61</v>
      </c>
      <c r="XFC38" s="179">
        <v>45857</v>
      </c>
      <c r="XFD38" s="120">
        <v>45842</v>
      </c>
    </row>
    <row r="39" spans="1:17 16383:16384" ht="15.75" customHeight="1" x14ac:dyDescent="0.2">
      <c r="A39" s="14" t="s">
        <v>160</v>
      </c>
      <c r="B39" s="82" t="s">
        <v>111</v>
      </c>
      <c r="C39" s="114">
        <v>45870.458333333336</v>
      </c>
      <c r="D39" s="114"/>
      <c r="E39" s="167">
        <v>76.02</v>
      </c>
      <c r="F39" s="157">
        <v>68</v>
      </c>
      <c r="G39" s="129">
        <v>0.89</v>
      </c>
      <c r="H39" s="69">
        <v>1.1068</v>
      </c>
      <c r="I39" s="167">
        <v>0</v>
      </c>
      <c r="J39" s="23">
        <v>0</v>
      </c>
      <c r="K39" s="69"/>
      <c r="L39" s="167">
        <v>76.02</v>
      </c>
      <c r="M39" s="23">
        <v>84</v>
      </c>
      <c r="N39" s="126">
        <v>1.2846871099911717E-2</v>
      </c>
      <c r="O39" s="111">
        <v>16</v>
      </c>
      <c r="P39" s="118">
        <v>0.24373525115181477</v>
      </c>
      <c r="Q39" s="81" t="s">
        <v>67</v>
      </c>
      <c r="XFC39" s="179">
        <v>45858</v>
      </c>
      <c r="XFD39" s="120">
        <v>45843</v>
      </c>
    </row>
    <row r="40" spans="1:17 16383:16384" ht="15.75" customHeight="1" x14ac:dyDescent="0.2">
      <c r="A40" s="82" t="s">
        <v>160</v>
      </c>
      <c r="B40" s="82" t="s">
        <v>90</v>
      </c>
      <c r="C40" s="155">
        <v>45870.458333333336</v>
      </c>
      <c r="D40" s="155"/>
      <c r="E40" s="166">
        <v>2.5</v>
      </c>
      <c r="F40" s="156">
        <v>40</v>
      </c>
      <c r="G40" s="78">
        <v>16.07</v>
      </c>
      <c r="H40" s="158">
        <v>25.54</v>
      </c>
      <c r="I40" s="166">
        <v>0</v>
      </c>
      <c r="J40" s="127">
        <v>0</v>
      </c>
      <c r="K40" s="128"/>
      <c r="L40" s="169">
        <v>2.5</v>
      </c>
      <c r="M40" s="156">
        <v>64</v>
      </c>
      <c r="N40" s="161">
        <v>9.788092266599404E-3</v>
      </c>
      <c r="O40" s="163">
        <v>24</v>
      </c>
      <c r="P40" s="165">
        <v>0.58929682638456748</v>
      </c>
      <c r="Q40" s="81" t="s">
        <v>67</v>
      </c>
      <c r="XFC40" s="179">
        <v>45859</v>
      </c>
      <c r="XFD40" s="120">
        <v>45844</v>
      </c>
    </row>
    <row r="41" spans="1:17 16383:16384" ht="15.75" customHeight="1" x14ac:dyDescent="0.2">
      <c r="A41" s="82" t="s">
        <v>160</v>
      </c>
      <c r="B41" s="82" t="s">
        <v>85</v>
      </c>
      <c r="C41" s="155">
        <v>45870.458333333336</v>
      </c>
      <c r="D41" s="155"/>
      <c r="E41" s="166">
        <v>2059</v>
      </c>
      <c r="F41" s="156">
        <v>47</v>
      </c>
      <c r="G41" s="78">
        <v>0.02</v>
      </c>
      <c r="H41" s="130">
        <v>2.564E-2</v>
      </c>
      <c r="I41" s="169">
        <v>0</v>
      </c>
      <c r="J41" s="156">
        <v>0</v>
      </c>
      <c r="K41" s="158"/>
      <c r="L41" s="166">
        <v>2059</v>
      </c>
      <c r="M41" s="156">
        <v>53</v>
      </c>
      <c r="N41" s="161">
        <v>8.1057639082776304E-3</v>
      </c>
      <c r="O41" s="163">
        <v>6</v>
      </c>
      <c r="P41" s="165">
        <v>0.13451327433628321</v>
      </c>
      <c r="Q41" s="81" t="s">
        <v>61</v>
      </c>
      <c r="XFC41" s="179">
        <v>45860</v>
      </c>
      <c r="XFD41" s="120">
        <v>45845</v>
      </c>
    </row>
    <row r="42" spans="1:17 16383:16384" ht="15.75" customHeight="1" x14ac:dyDescent="0.2">
      <c r="A42" s="82" t="s">
        <v>160</v>
      </c>
      <c r="B42" s="82" t="s">
        <v>88</v>
      </c>
      <c r="C42" s="134">
        <v>45870.458333333336</v>
      </c>
      <c r="D42" s="134"/>
      <c r="E42" s="166">
        <v>3.8220000000000001</v>
      </c>
      <c r="F42" s="79">
        <v>35</v>
      </c>
      <c r="G42" s="78">
        <v>9.0399999999999991</v>
      </c>
      <c r="H42" s="128">
        <v>10.286</v>
      </c>
      <c r="I42" s="166">
        <v>0</v>
      </c>
      <c r="J42" s="127">
        <v>0</v>
      </c>
      <c r="K42" s="128"/>
      <c r="L42" s="166">
        <v>3.8220000000000001</v>
      </c>
      <c r="M42" s="127">
        <v>39</v>
      </c>
      <c r="N42" s="131">
        <v>5.9646187249590109E-3</v>
      </c>
      <c r="O42" s="132">
        <v>5</v>
      </c>
      <c r="P42" s="133">
        <v>0.13820958282615903</v>
      </c>
      <c r="Q42" s="81" t="s">
        <v>67</v>
      </c>
      <c r="XFC42" s="179">
        <v>45861</v>
      </c>
      <c r="XFD42" s="120">
        <v>45846</v>
      </c>
    </row>
    <row r="43" spans="1:17 16383:16384" ht="15.75" customHeight="1" x14ac:dyDescent="0.2">
      <c r="A43" s="82" t="s">
        <v>160</v>
      </c>
      <c r="B43" s="83" t="s">
        <v>83</v>
      </c>
      <c r="C43" s="155">
        <v>45870.458333333336</v>
      </c>
      <c r="D43" s="155"/>
      <c r="E43" s="166">
        <v>146.86000000000001</v>
      </c>
      <c r="F43" s="79">
        <v>35</v>
      </c>
      <c r="G43" s="78">
        <v>0.24</v>
      </c>
      <c r="H43" s="174">
        <v>0.25330000000000003</v>
      </c>
      <c r="I43" s="166">
        <v>0</v>
      </c>
      <c r="J43" s="127">
        <v>0</v>
      </c>
      <c r="K43" s="128"/>
      <c r="L43" s="169">
        <v>146.86000000000001</v>
      </c>
      <c r="M43" s="156">
        <v>37</v>
      </c>
      <c r="N43" s="161">
        <v>5.6587408416277803E-3</v>
      </c>
      <c r="O43" s="163">
        <v>3</v>
      </c>
      <c r="P43" s="165">
        <v>7.2850487081745074E-2</v>
      </c>
      <c r="Q43" s="81" t="s">
        <v>61</v>
      </c>
      <c r="XFC43" s="179">
        <v>45862</v>
      </c>
      <c r="XFD43" s="120">
        <v>45847</v>
      </c>
    </row>
    <row r="44" spans="1:17 16383:16384" ht="15.75" customHeight="1" x14ac:dyDescent="0.2">
      <c r="A44" s="14" t="s">
        <v>160</v>
      </c>
      <c r="B44" s="83" t="s">
        <v>89</v>
      </c>
      <c r="C44" s="114">
        <v>45870.458333333336</v>
      </c>
      <c r="D44" s="114"/>
      <c r="E44" s="167">
        <v>2.3740000000000001</v>
      </c>
      <c r="F44" s="157">
        <v>30</v>
      </c>
      <c r="G44" s="159">
        <v>12.55</v>
      </c>
      <c r="H44" s="69">
        <v>14.79</v>
      </c>
      <c r="I44" s="167">
        <v>0</v>
      </c>
      <c r="J44" s="23">
        <v>0</v>
      </c>
      <c r="K44" s="69"/>
      <c r="L44" s="167">
        <v>2.3740000000000001</v>
      </c>
      <c r="M44" s="23">
        <v>35</v>
      </c>
      <c r="N44" s="126">
        <v>5.3528629582965488E-3</v>
      </c>
      <c r="O44" s="111">
        <v>5</v>
      </c>
      <c r="P44" s="118">
        <v>0.17848605577689228</v>
      </c>
      <c r="Q44" s="81" t="s">
        <v>67</v>
      </c>
      <c r="XFC44" s="179">
        <v>45863</v>
      </c>
      <c r="XFD44" s="120">
        <v>45848</v>
      </c>
    </row>
    <row r="45" spans="1:17 16383:16384" ht="15.75" customHeight="1" x14ac:dyDescent="0.2">
      <c r="A45" s="14" t="s">
        <v>160</v>
      </c>
      <c r="B45" s="83" t="s">
        <v>82</v>
      </c>
      <c r="C45" s="114">
        <v>45870.458333333336</v>
      </c>
      <c r="D45" s="114"/>
      <c r="E45" s="167">
        <v>9.89</v>
      </c>
      <c r="F45" s="157">
        <v>24</v>
      </c>
      <c r="G45" s="159">
        <v>2.41</v>
      </c>
      <c r="H45" s="69">
        <v>2.8580000000000001</v>
      </c>
      <c r="I45" s="167">
        <v>0</v>
      </c>
      <c r="J45" s="23">
        <v>0</v>
      </c>
      <c r="K45" s="69"/>
      <c r="L45" s="167">
        <v>9.89</v>
      </c>
      <c r="M45" s="23">
        <v>28</v>
      </c>
      <c r="N45" s="126">
        <v>4.282290366637239E-3</v>
      </c>
      <c r="O45" s="111">
        <v>4</v>
      </c>
      <c r="P45" s="118">
        <v>0.18392709196354592</v>
      </c>
      <c r="Q45" s="81" t="s">
        <v>61</v>
      </c>
      <c r="XFC45" s="179">
        <v>45864</v>
      </c>
      <c r="XFD45" s="120">
        <v>45849</v>
      </c>
    </row>
    <row r="46" spans="1:17 16383:16384" ht="15.75" customHeight="1" x14ac:dyDescent="0.2">
      <c r="A46" s="82" t="s">
        <v>160</v>
      </c>
      <c r="B46" s="83" t="s">
        <v>87</v>
      </c>
      <c r="C46" s="134">
        <v>45870.458333333336</v>
      </c>
      <c r="D46" s="145"/>
      <c r="E46" s="168">
        <v>3.3</v>
      </c>
      <c r="F46" s="127">
        <v>23</v>
      </c>
      <c r="G46" s="128">
        <v>6.94</v>
      </c>
      <c r="H46" s="130">
        <v>7.72</v>
      </c>
      <c r="I46" s="166">
        <v>0</v>
      </c>
      <c r="J46" s="135">
        <v>0</v>
      </c>
      <c r="K46" s="128"/>
      <c r="L46" s="166">
        <v>3.3</v>
      </c>
      <c r="M46" s="127">
        <v>25</v>
      </c>
      <c r="N46" s="131">
        <v>3.8234735416403918E-3</v>
      </c>
      <c r="O46" s="132">
        <v>3</v>
      </c>
      <c r="P46" s="133">
        <v>0.11239193083573477</v>
      </c>
      <c r="Q46" s="81" t="s">
        <v>67</v>
      </c>
      <c r="XFC46" s="179">
        <v>45865</v>
      </c>
      <c r="XFD46" s="120">
        <v>45850</v>
      </c>
    </row>
    <row r="47" spans="1:17 16383:16384" ht="15.75" customHeight="1" x14ac:dyDescent="0.2">
      <c r="A47" s="77" t="s">
        <v>506</v>
      </c>
      <c r="B47" s="185" t="s">
        <v>49</v>
      </c>
      <c r="C47" s="186">
        <v>45396.458333333336</v>
      </c>
      <c r="D47" s="186">
        <v>45750.458333333336</v>
      </c>
      <c r="E47" s="166">
        <v>2.4E-2</v>
      </c>
      <c r="F47" s="127">
        <v>1404</v>
      </c>
      <c r="G47" s="180">
        <v>59220.88</v>
      </c>
      <c r="H47" s="158"/>
      <c r="I47" s="166">
        <v>2.4E-2</v>
      </c>
      <c r="J47" s="127">
        <v>2123</v>
      </c>
      <c r="K47" s="139">
        <v>89216.71</v>
      </c>
      <c r="L47" s="169">
        <v>0</v>
      </c>
      <c r="M47" s="188">
        <v>0</v>
      </c>
      <c r="N47" s="189"/>
      <c r="O47" s="163">
        <v>720</v>
      </c>
      <c r="P47" s="165">
        <v>0.51274918957125126</v>
      </c>
      <c r="Q47" s="80" t="s">
        <v>61</v>
      </c>
      <c r="XFC47" s="179">
        <v>45866</v>
      </c>
      <c r="XFD47" s="120"/>
    </row>
    <row r="48" spans="1:17 16383:16384" ht="15.75" customHeight="1" x14ac:dyDescent="0.2">
      <c r="A48" s="82" t="s">
        <v>506</v>
      </c>
      <c r="B48" s="83" t="s">
        <v>613</v>
      </c>
      <c r="C48" s="155">
        <v>45870.458333333336</v>
      </c>
      <c r="D48" s="155">
        <v>45870.458333333336</v>
      </c>
      <c r="E48" s="166">
        <v>387.7</v>
      </c>
      <c r="F48" s="156">
        <v>388</v>
      </c>
      <c r="G48" s="158">
        <v>1</v>
      </c>
      <c r="H48" s="128"/>
      <c r="I48" s="169">
        <v>387.7</v>
      </c>
      <c r="J48" s="156">
        <v>0</v>
      </c>
      <c r="K48" s="158">
        <v>0</v>
      </c>
      <c r="L48" s="166">
        <v>0</v>
      </c>
      <c r="M48" s="156">
        <v>0</v>
      </c>
      <c r="N48" s="161"/>
      <c r="O48" s="162">
        <v>-388</v>
      </c>
      <c r="P48" s="164">
        <v>-1</v>
      </c>
      <c r="Q48" s="81" t="s">
        <v>141</v>
      </c>
      <c r="XFC48" s="179">
        <v>45867</v>
      </c>
      <c r="XFD48" s="120"/>
    </row>
    <row r="49" spans="1:17 16383:16384" ht="15.75" customHeight="1" x14ac:dyDescent="0.2">
      <c r="A49" s="14"/>
      <c r="B49" s="83"/>
      <c r="F49" s="36"/>
      <c r="J49" s="36"/>
      <c r="Q49" s="81"/>
      <c r="XFC49" s="179"/>
      <c r="XFD49" s="120"/>
    </row>
    <row r="50" spans="1:17 16383:16384" ht="15.75" customHeight="1" x14ac:dyDescent="0.2">
      <c r="F50" s="63"/>
      <c r="J50" s="63"/>
      <c r="M50" s="63"/>
      <c r="N50" s="63"/>
      <c r="Q50" s="81"/>
      <c r="XFC50" s="179"/>
      <c r="XFD50" s="120"/>
    </row>
    <row r="51" spans="1:17 16383:16384" ht="15.75" customHeight="1" x14ac:dyDescent="0.2">
      <c r="F51" s="56"/>
      <c r="J51" s="56"/>
      <c r="M51" s="56"/>
      <c r="N51" s="56"/>
      <c r="Q51" s="81"/>
      <c r="XFC51" s="179">
        <v>45870</v>
      </c>
      <c r="XFD51" s="120"/>
    </row>
    <row r="52" spans="1:17 16383:16384" ht="15.75" customHeight="1" x14ac:dyDescent="0.2">
      <c r="F52" s="56"/>
      <c r="J52" s="56"/>
      <c r="M52" s="56"/>
      <c r="N52" s="56"/>
      <c r="XFC52" s="179">
        <v>45871</v>
      </c>
      <c r="XFD52" s="120"/>
    </row>
    <row r="53" spans="1:17 16383:16384" ht="15.75" customHeight="1" x14ac:dyDescent="0.2">
      <c r="C53" s="48"/>
      <c r="F53" s="63"/>
      <c r="J53" s="63"/>
      <c r="M53" s="63"/>
      <c r="N53" s="63"/>
      <c r="XFC53" s="179">
        <v>45872</v>
      </c>
      <c r="XFD53" s="120"/>
    </row>
    <row r="54" spans="1:17 16383:16384" ht="15.75" customHeight="1" x14ac:dyDescent="0.2">
      <c r="C54" s="48"/>
      <c r="F54" s="56"/>
      <c r="J54" s="62"/>
      <c r="M54" s="56"/>
      <c r="N54" s="56"/>
      <c r="XFC54" s="179">
        <v>45873</v>
      </c>
      <c r="XFD54" s="120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79">
        <v>45874</v>
      </c>
      <c r="XFD55" s="120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79">
        <v>45875</v>
      </c>
      <c r="XFD56" s="120">
        <v>45860</v>
      </c>
    </row>
    <row r="57" spans="1:17 16383:16384" ht="15.75" customHeight="1" x14ac:dyDescent="0.2">
      <c r="J57" s="62"/>
      <c r="M57" s="62"/>
      <c r="N57" s="62"/>
      <c r="XFC57" s="179">
        <v>45876</v>
      </c>
      <c r="XFD57" s="120">
        <v>45861</v>
      </c>
    </row>
    <row r="58" spans="1:17 16383:16384" ht="15.75" customHeight="1" x14ac:dyDescent="0.2">
      <c r="J58" s="62"/>
      <c r="M58" s="62"/>
      <c r="N58" s="62"/>
      <c r="XFC58" s="179">
        <v>45877</v>
      </c>
      <c r="XFD58" s="120">
        <v>45862</v>
      </c>
    </row>
    <row r="59" spans="1:17 16383:16384" ht="15.75" customHeight="1" x14ac:dyDescent="0.2">
      <c r="F59" s="56"/>
      <c r="J59" s="62"/>
      <c r="M59" s="62"/>
      <c r="N59" s="62"/>
      <c r="XFC59" s="179">
        <v>45878</v>
      </c>
      <c r="XFD59" s="120">
        <v>45863</v>
      </c>
    </row>
    <row r="60" spans="1:17 16383:16384" ht="15.75" customHeight="1" x14ac:dyDescent="0.2">
      <c r="F60" s="56"/>
      <c r="M60" s="62"/>
      <c r="N60" s="62"/>
      <c r="XFC60" s="179">
        <v>45879</v>
      </c>
      <c r="XFD60" s="120">
        <v>45864</v>
      </c>
    </row>
    <row r="61" spans="1:17 16383:16384" ht="15.75" customHeight="1" x14ac:dyDescent="0.2">
      <c r="M61" s="62"/>
      <c r="N61" s="62"/>
      <c r="XFC61" s="179">
        <v>45880</v>
      </c>
      <c r="XFD61" s="120">
        <v>45865</v>
      </c>
    </row>
    <row r="62" spans="1:17 16383:16384" ht="15.75" customHeight="1" x14ac:dyDescent="0.2">
      <c r="M62" s="62"/>
      <c r="N62" s="62"/>
      <c r="XFC62" s="179">
        <v>45881</v>
      </c>
      <c r="XFD62" s="120">
        <v>45866</v>
      </c>
    </row>
    <row r="63" spans="1:17 16383:16384" ht="15.75" customHeight="1" x14ac:dyDescent="0.2">
      <c r="M63" s="62"/>
      <c r="N63" s="62"/>
      <c r="XFC63" s="179">
        <v>45882</v>
      </c>
      <c r="XFD63" s="120">
        <v>45867</v>
      </c>
    </row>
    <row r="64" spans="1:17 16383:16384" ht="15.75" customHeight="1" x14ac:dyDescent="0.2">
      <c r="M64" s="62"/>
      <c r="N64" s="62"/>
      <c r="XFC64" s="179">
        <v>45883</v>
      </c>
      <c r="XFD64" s="120">
        <v>45868</v>
      </c>
    </row>
    <row r="65" spans="13:14 16383:16384" ht="15.75" customHeight="1" x14ac:dyDescent="0.2">
      <c r="M65" s="62"/>
      <c r="N65" s="62"/>
      <c r="XFC65" s="179">
        <v>45884</v>
      </c>
      <c r="XFD65" s="120">
        <v>45869</v>
      </c>
    </row>
    <row r="66" spans="13:14 16383:16384" ht="15.75" customHeight="1" x14ac:dyDescent="0.2">
      <c r="M66" s="62"/>
      <c r="N66" s="62"/>
      <c r="XFC66" s="179">
        <v>45885</v>
      </c>
      <c r="XFD66" s="120">
        <v>45870</v>
      </c>
    </row>
    <row r="67" spans="13:14 16383:16384" ht="15.75" customHeight="1" x14ac:dyDescent="0.2">
      <c r="M67" s="62"/>
      <c r="N67" s="62"/>
      <c r="XFC67" s="179">
        <v>45886</v>
      </c>
      <c r="XFD67" s="120">
        <v>45871</v>
      </c>
    </row>
    <row r="68" spans="13:14 16383:16384" ht="15.75" customHeight="1" x14ac:dyDescent="0.2">
      <c r="M68" s="62"/>
      <c r="N68" s="62"/>
      <c r="XFC68" s="179">
        <v>45887</v>
      </c>
      <c r="XFD68" s="120">
        <v>45872</v>
      </c>
    </row>
    <row r="69" spans="13:14 16383:16384" ht="15.75" customHeight="1" x14ac:dyDescent="0.2">
      <c r="XFC69" s="179">
        <v>45888</v>
      </c>
      <c r="XFD69" s="120">
        <v>45873</v>
      </c>
    </row>
    <row r="70" spans="13:14 16383:16384" ht="15.75" customHeight="1" x14ac:dyDescent="0.2">
      <c r="XFC70" s="179">
        <v>45889</v>
      </c>
      <c r="XFD70" s="120">
        <v>45874</v>
      </c>
    </row>
    <row r="71" spans="13:14 16383:16384" ht="15.75" customHeight="1" x14ac:dyDescent="0.2">
      <c r="XFC71" s="179">
        <v>45890</v>
      </c>
      <c r="XFD71" s="120">
        <v>45875</v>
      </c>
    </row>
    <row r="72" spans="13:14 16383:16384" ht="15.75" customHeight="1" x14ac:dyDescent="0.2">
      <c r="XFC72" s="179">
        <v>45891</v>
      </c>
      <c r="XFD72" s="120">
        <v>45876</v>
      </c>
    </row>
    <row r="73" spans="13:14 16383:16384" ht="15.75" customHeight="1" x14ac:dyDescent="0.2">
      <c r="XFC73" s="179">
        <v>45892</v>
      </c>
      <c r="XFD73" s="120">
        <v>45877</v>
      </c>
    </row>
    <row r="74" spans="13:14 16383:16384" ht="15.75" customHeight="1" x14ac:dyDescent="0.2">
      <c r="XFC74" s="179">
        <v>45893</v>
      </c>
      <c r="XFD74" s="120">
        <v>45878</v>
      </c>
    </row>
    <row r="75" spans="13:14 16383:16384" ht="15.75" customHeight="1" x14ac:dyDescent="0.2">
      <c r="XFC75" s="179">
        <v>45894</v>
      </c>
      <c r="XFD75" s="120">
        <v>45879</v>
      </c>
    </row>
    <row r="76" spans="13:14 16383:16384" ht="15.75" customHeight="1" x14ac:dyDescent="0.2">
      <c r="XFC76" s="179">
        <v>45895</v>
      </c>
      <c r="XFD76" s="120">
        <v>45880</v>
      </c>
    </row>
    <row r="77" spans="13:14 16383:16384" ht="15.75" customHeight="1" x14ac:dyDescent="0.2">
      <c r="XFC77" s="179">
        <v>45896</v>
      </c>
      <c r="XFD77" s="120">
        <v>45881</v>
      </c>
    </row>
    <row r="78" spans="13:14 16383:16384" ht="15.75" customHeight="1" x14ac:dyDescent="0.2">
      <c r="XFC78" s="179">
        <v>45897</v>
      </c>
      <c r="XFD78" s="120">
        <v>45882</v>
      </c>
    </row>
    <row r="79" spans="13:14 16383:16384" ht="15.75" customHeight="1" x14ac:dyDescent="0.2">
      <c r="XFC79" s="179">
        <v>45898</v>
      </c>
      <c r="XFD79" s="120">
        <v>45883</v>
      </c>
    </row>
    <row r="80" spans="13:14 16383:16384" ht="15.75" customHeight="1" x14ac:dyDescent="0.2">
      <c r="XFC80" s="179">
        <v>45899</v>
      </c>
      <c r="XFD80" s="120">
        <v>45884</v>
      </c>
    </row>
    <row r="81" spans="16383:16384" ht="15.75" customHeight="1" x14ac:dyDescent="0.2">
      <c r="XFC81" s="179">
        <v>45900</v>
      </c>
      <c r="XFD81" s="120">
        <v>45885</v>
      </c>
    </row>
    <row r="82" spans="16383:16384" ht="15.75" customHeight="1" x14ac:dyDescent="0.2">
      <c r="XFC82" s="179">
        <v>45901</v>
      </c>
      <c r="XFD82" s="120">
        <v>45886</v>
      </c>
    </row>
    <row r="83" spans="16383:16384" ht="15.75" customHeight="1" x14ac:dyDescent="0.2">
      <c r="XFC83" s="179">
        <v>45902</v>
      </c>
      <c r="XFD83" s="120">
        <v>45887</v>
      </c>
    </row>
    <row r="84" spans="16383:16384" ht="15.75" customHeight="1" x14ac:dyDescent="0.2">
      <c r="XFC84" s="179">
        <v>45903</v>
      </c>
      <c r="XFD84" s="120">
        <v>45888</v>
      </c>
    </row>
    <row r="85" spans="16383:16384" ht="15.75" customHeight="1" x14ac:dyDescent="0.2">
      <c r="XFC85" s="179">
        <v>45904</v>
      </c>
      <c r="XFD85" s="120">
        <v>45889</v>
      </c>
    </row>
    <row r="86" spans="16383:16384" ht="15.75" customHeight="1" x14ac:dyDescent="0.2">
      <c r="XFC86" s="179">
        <v>45905</v>
      </c>
      <c r="XFD86" s="120">
        <v>45890</v>
      </c>
    </row>
    <row r="87" spans="16383:16384" ht="15.75" customHeight="1" x14ac:dyDescent="0.2">
      <c r="XFC87" s="179">
        <v>45906</v>
      </c>
      <c r="XFD87" s="120">
        <v>45891</v>
      </c>
    </row>
    <row r="88" spans="16383:16384" ht="15.75" customHeight="1" x14ac:dyDescent="0.2">
      <c r="XFC88" s="179">
        <v>45907</v>
      </c>
      <c r="XFD88" s="120">
        <v>45892</v>
      </c>
    </row>
    <row r="89" spans="16383:16384" ht="15.75" customHeight="1" x14ac:dyDescent="0.2">
      <c r="XFC89" s="179">
        <v>45908</v>
      </c>
      <c r="XFD89" s="120">
        <v>45893</v>
      </c>
    </row>
    <row r="90" spans="16383:16384" ht="15.75" customHeight="1" x14ac:dyDescent="0.2">
      <c r="XFC90" s="179">
        <v>45909</v>
      </c>
      <c r="XFD90" s="120">
        <v>45894</v>
      </c>
    </row>
    <row r="91" spans="16383:16384" ht="15.75" customHeight="1" x14ac:dyDescent="0.2">
      <c r="XFC91" s="179">
        <v>45910</v>
      </c>
      <c r="XFD91" s="120">
        <v>45895</v>
      </c>
    </row>
    <row r="92" spans="16383:16384" ht="15.75" customHeight="1" x14ac:dyDescent="0.2">
      <c r="XFC92" s="179">
        <v>45911</v>
      </c>
      <c r="XFD92" s="120">
        <v>45896</v>
      </c>
    </row>
    <row r="93" spans="16383:16384" ht="15.75" customHeight="1" x14ac:dyDescent="0.2">
      <c r="XFC93" s="179">
        <v>45912</v>
      </c>
      <c r="XFD93" s="120">
        <v>45897</v>
      </c>
    </row>
    <row r="94" spans="16383:16384" ht="15.75" customHeight="1" x14ac:dyDescent="0.2">
      <c r="XFC94" s="179">
        <v>45913</v>
      </c>
      <c r="XFD94" s="120">
        <v>45898</v>
      </c>
    </row>
    <row r="95" spans="16383:16384" ht="15.75" customHeight="1" x14ac:dyDescent="0.2">
      <c r="XFD95" s="120">
        <v>45899</v>
      </c>
    </row>
    <row r="96" spans="16383:16384" ht="15.75" customHeight="1" x14ac:dyDescent="0.2">
      <c r="XFD96" s="120">
        <v>45900</v>
      </c>
    </row>
    <row r="97" spans="16384:16384" ht="15.75" customHeight="1" x14ac:dyDescent="0.2">
      <c r="XFD97" s="120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autoFilter ref="A30:D37" xr:uid="{00000000-0009-0000-0000-000001000000}"/>
  <sortState xmlns:xlrd2="http://schemas.microsoft.com/office/spreadsheetml/2017/richdata2" ref="A31:Q48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45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102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55</v>
      </c>
      <c r="O8" s="11" t="s">
        <v>24</v>
      </c>
      <c r="P8" s="11" t="s">
        <v>25</v>
      </c>
      <c r="Q8" s="34" t="s">
        <v>54</v>
      </c>
    </row>
    <row r="9" spans="1:19" ht="15.75" customHeight="1" x14ac:dyDescent="0.2">
      <c r="A9" s="13" t="s">
        <v>26</v>
      </c>
      <c r="B9" s="14" t="s">
        <v>49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73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56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74</v>
      </c>
    </row>
    <row r="12" spans="1:19" ht="15.75" customHeight="1" x14ac:dyDescent="0.2">
      <c r="A12" s="13" t="s">
        <v>33</v>
      </c>
      <c r="B12" s="67" t="s">
        <v>80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56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56</v>
      </c>
    </row>
    <row r="14" spans="1:19" ht="15" customHeight="1" x14ac:dyDescent="0.2">
      <c r="A14" s="13" t="s">
        <v>33</v>
      </c>
      <c r="B14" s="67" t="s">
        <v>101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56</v>
      </c>
    </row>
    <row r="15" spans="1:19" ht="15" customHeight="1" x14ac:dyDescent="0.2">
      <c r="A15" s="13" t="s">
        <v>33</v>
      </c>
      <c r="B15" s="66" t="s">
        <v>85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56</v>
      </c>
    </row>
    <row r="16" spans="1:19" ht="15" customHeight="1" x14ac:dyDescent="0.2">
      <c r="A16" s="13" t="s">
        <v>33</v>
      </c>
      <c r="B16" s="66" t="s">
        <v>83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56</v>
      </c>
    </row>
    <row r="17" spans="1:18" ht="15" customHeight="1" x14ac:dyDescent="0.2">
      <c r="A17" s="13" t="s">
        <v>33</v>
      </c>
      <c r="B17" s="66" t="s">
        <v>82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56</v>
      </c>
    </row>
    <row r="18" spans="1:18" ht="15" customHeight="1" x14ac:dyDescent="0.2">
      <c r="A18" s="13"/>
      <c r="B18" s="67" t="s">
        <v>111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74</v>
      </c>
    </row>
    <row r="19" spans="1:18" ht="15" customHeight="1" x14ac:dyDescent="0.2">
      <c r="A19" s="13" t="s">
        <v>33</v>
      </c>
      <c r="B19" s="67" t="s">
        <v>79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74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90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74</v>
      </c>
    </row>
    <row r="22" spans="1:18" ht="15" customHeight="1" x14ac:dyDescent="0.2">
      <c r="A22" s="13" t="s">
        <v>33</v>
      </c>
      <c r="B22" s="67" t="s">
        <v>88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74</v>
      </c>
    </row>
    <row r="23" spans="1:18" ht="15" customHeight="1" x14ac:dyDescent="0.2">
      <c r="A23" s="13" t="s">
        <v>33</v>
      </c>
      <c r="B23" s="67" t="s">
        <v>89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74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87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74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57</v>
      </c>
      <c r="R27" t="s">
        <v>58</v>
      </c>
    </row>
    <row r="28" spans="1:18" ht="15.75" customHeight="1" x14ac:dyDescent="0.2">
      <c r="A28" s="13" t="s">
        <v>33</v>
      </c>
      <c r="B28" s="14" t="s">
        <v>46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57</v>
      </c>
      <c r="R28" t="s">
        <v>58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0" activePane="bottomLeft" state="frozen"/>
      <selection pane="bottomLeft" activeCell="G61" sqref="G61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63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3" t="s">
        <v>107</v>
      </c>
      <c r="B2" s="103" t="s">
        <v>112</v>
      </c>
      <c r="C2" s="103" t="s">
        <v>113</v>
      </c>
      <c r="D2" s="104" t="s">
        <v>114</v>
      </c>
      <c r="E2" s="104" t="s">
        <v>122</v>
      </c>
      <c r="F2" s="104" t="s">
        <v>115</v>
      </c>
      <c r="G2" s="105" t="s">
        <v>116</v>
      </c>
      <c r="H2" s="106" t="s">
        <v>134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0">
        <v>45383</v>
      </c>
      <c r="B3" s="25" t="s">
        <v>117</v>
      </c>
      <c r="C3" s="108"/>
      <c r="D3" s="108"/>
      <c r="E3" s="108"/>
      <c r="F3" s="108">
        <f>118-45+100+14+40</f>
        <v>227</v>
      </c>
      <c r="G3" s="109" t="s">
        <v>158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0">
        <v>45383</v>
      </c>
      <c r="B4" s="25" t="s">
        <v>118</v>
      </c>
      <c r="C4" s="110" t="s">
        <v>34</v>
      </c>
      <c r="D4" s="108">
        <v>3503</v>
      </c>
      <c r="E4" s="108">
        <f>40/D4</f>
        <v>1.1418783899514702E-2</v>
      </c>
      <c r="F4" s="108">
        <v>40</v>
      </c>
      <c r="G4" s="109" t="s">
        <v>159</v>
      </c>
      <c r="H4" s="25" t="s">
        <v>61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0">
        <v>45383</v>
      </c>
      <c r="B5" s="25" t="s">
        <v>117</v>
      </c>
      <c r="C5" s="25"/>
      <c r="D5" s="25"/>
      <c r="E5" s="25"/>
      <c r="F5" s="25">
        <v>200</v>
      </c>
      <c r="G5" s="25" t="s">
        <v>47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0">
        <v>45395</v>
      </c>
      <c r="B6" s="25" t="s">
        <v>117</v>
      </c>
      <c r="C6" s="25"/>
      <c r="D6" s="25"/>
      <c r="E6" s="25"/>
      <c r="F6" s="25">
        <v>75</v>
      </c>
      <c r="G6" s="25" t="s">
        <v>48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0">
        <v>45396</v>
      </c>
      <c r="B7" s="25" t="s">
        <v>118</v>
      </c>
      <c r="C7" s="25" t="s">
        <v>49</v>
      </c>
      <c r="D7" s="25">
        <v>64306</v>
      </c>
      <c r="E7" s="25">
        <v>3.1E-4</v>
      </c>
      <c r="F7" s="25">
        <f>D7*E7</f>
        <v>19.93486</v>
      </c>
      <c r="G7" s="25" t="s">
        <v>50</v>
      </c>
      <c r="H7" s="25" t="s">
        <v>61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0">
        <v>45399</v>
      </c>
      <c r="B8" s="25" t="s">
        <v>117</v>
      </c>
      <c r="C8" s="25"/>
      <c r="D8" s="25"/>
      <c r="E8" s="25"/>
      <c r="F8" s="25">
        <v>189</v>
      </c>
      <c r="G8" s="25" t="s">
        <v>51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0">
        <v>45399</v>
      </c>
      <c r="B9" s="25" t="s">
        <v>118</v>
      </c>
      <c r="C9" s="25" t="s">
        <v>49</v>
      </c>
      <c r="D9" s="25">
        <v>60000</v>
      </c>
      <c r="E9" s="25">
        <v>1.57E-3</v>
      </c>
      <c r="F9" s="25">
        <f>D9*E9</f>
        <v>94.2</v>
      </c>
      <c r="G9" s="25" t="s">
        <v>52</v>
      </c>
      <c r="H9" s="25" t="s">
        <v>61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0">
        <v>45399</v>
      </c>
      <c r="B10" s="25" t="s">
        <v>118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53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0">
        <v>45457</v>
      </c>
      <c r="B11" s="25" t="s">
        <v>117</v>
      </c>
      <c r="C11" s="25"/>
      <c r="D11" s="25"/>
      <c r="E11" s="25"/>
      <c r="F11" s="25">
        <v>581</v>
      </c>
      <c r="G11" s="25" t="s">
        <v>60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0">
        <v>45461</v>
      </c>
      <c r="B12" s="25" t="s">
        <v>118</v>
      </c>
      <c r="C12" s="25" t="s">
        <v>49</v>
      </c>
      <c r="D12" s="25">
        <v>65000</v>
      </c>
      <c r="E12" s="25">
        <v>6.1500000000000001E-3</v>
      </c>
      <c r="F12" s="25">
        <f>D12*E12</f>
        <v>399.75</v>
      </c>
      <c r="G12" s="25" t="s">
        <v>70</v>
      </c>
      <c r="H12" s="25" t="s">
        <v>61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0">
        <v>45477</v>
      </c>
      <c r="B13" s="25" t="s">
        <v>118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59</v>
      </c>
      <c r="H13" s="25" t="s">
        <v>61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0">
        <v>45467</v>
      </c>
      <c r="B14" s="25" t="s">
        <v>117</v>
      </c>
      <c r="C14" s="25"/>
      <c r="D14" s="25"/>
      <c r="E14" s="25"/>
      <c r="F14" s="25">
        <v>577</v>
      </c>
      <c r="G14" s="25" t="s">
        <v>64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0">
        <v>45468</v>
      </c>
      <c r="B15" s="25" t="s">
        <v>118</v>
      </c>
      <c r="C15" s="25" t="s">
        <v>49</v>
      </c>
      <c r="D15" s="25">
        <v>60000</v>
      </c>
      <c r="E15" s="25">
        <v>6.6699999999999997E-3</v>
      </c>
      <c r="F15" s="25">
        <f>D15*E15</f>
        <v>400.2</v>
      </c>
      <c r="G15" s="25" t="s">
        <v>66</v>
      </c>
      <c r="H15" s="25" t="s">
        <v>67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0">
        <v>45477</v>
      </c>
      <c r="B16" s="25" t="s">
        <v>118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65</v>
      </c>
      <c r="H16" s="25" t="s">
        <v>67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0">
        <v>45481</v>
      </c>
      <c r="B17" s="25" t="s">
        <v>117</v>
      </c>
      <c r="C17" s="25"/>
      <c r="D17" s="25"/>
      <c r="E17" s="25"/>
      <c r="F17" s="25">
        <v>384</v>
      </c>
      <c r="G17" s="25" t="s">
        <v>62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0">
        <v>45509</v>
      </c>
      <c r="B18" s="25" t="s">
        <v>118</v>
      </c>
      <c r="C18" s="25" t="s">
        <v>49</v>
      </c>
      <c r="D18" s="25">
        <v>55000</v>
      </c>
      <c r="E18" s="25">
        <v>3.4499999999999999E-3</v>
      </c>
      <c r="F18" s="25">
        <f>D18*E18</f>
        <v>189.75</v>
      </c>
      <c r="G18" s="25" t="s">
        <v>68</v>
      </c>
      <c r="H18" s="25" t="s">
        <v>61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0">
        <v>45506</v>
      </c>
      <c r="B19" s="25" t="s">
        <v>118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69</v>
      </c>
      <c r="H19" s="25" t="s">
        <v>61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0">
        <v>45541</v>
      </c>
      <c r="B20" s="25" t="s">
        <v>117</v>
      </c>
      <c r="C20" s="25"/>
      <c r="D20" s="25"/>
      <c r="E20" s="25"/>
      <c r="F20" s="25">
        <v>792</v>
      </c>
      <c r="G20" s="25" t="s">
        <v>76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0">
        <v>45541</v>
      </c>
      <c r="B21" s="25" t="s">
        <v>118</v>
      </c>
      <c r="C21" s="25" t="s">
        <v>49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71</v>
      </c>
      <c r="H21" s="25" t="s">
        <v>67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0">
        <v>45542</v>
      </c>
      <c r="B22" s="25" t="s">
        <v>118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72</v>
      </c>
      <c r="H22" s="25" t="s">
        <v>67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0">
        <v>45595</v>
      </c>
      <c r="B23" s="25" t="s">
        <v>120</v>
      </c>
      <c r="C23" s="25" t="s">
        <v>49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78</v>
      </c>
      <c r="H23" s="25" t="s">
        <v>67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0">
        <v>45601</v>
      </c>
      <c r="B24" s="25" t="s">
        <v>118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77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0">
        <v>45622</v>
      </c>
      <c r="B25" s="25" t="s">
        <v>120</v>
      </c>
      <c r="C25" s="25" t="s">
        <v>49</v>
      </c>
      <c r="D25" s="25">
        <v>93000</v>
      </c>
      <c r="E25" s="25">
        <v>3.0000000000000001E-3</v>
      </c>
      <c r="F25" s="25">
        <f t="shared" si="0"/>
        <v>279</v>
      </c>
      <c r="G25" s="107" t="s">
        <v>98</v>
      </c>
      <c r="H25" s="25" t="s">
        <v>67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0">
        <v>45622</v>
      </c>
      <c r="B26" s="25" t="s">
        <v>120</v>
      </c>
      <c r="C26" s="25" t="s">
        <v>49</v>
      </c>
      <c r="D26" s="25">
        <v>94000</v>
      </c>
      <c r="E26" s="25">
        <v>6.0000000000000001E-3</v>
      </c>
      <c r="F26" s="25">
        <f t="shared" si="0"/>
        <v>564</v>
      </c>
      <c r="G26" s="107" t="s">
        <v>98</v>
      </c>
      <c r="H26" s="25" t="s">
        <v>61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0">
        <v>45663</v>
      </c>
      <c r="B27" s="25" t="s">
        <v>120</v>
      </c>
      <c r="C27" s="25" t="s">
        <v>49</v>
      </c>
      <c r="D27" s="25">
        <v>100000</v>
      </c>
      <c r="E27" s="25">
        <v>2.7399999999999998E-3</v>
      </c>
      <c r="F27" s="25">
        <f t="shared" si="0"/>
        <v>274</v>
      </c>
      <c r="G27" s="107" t="s">
        <v>81</v>
      </c>
      <c r="H27" s="25" t="s">
        <v>61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0">
        <v>45670</v>
      </c>
      <c r="B28" s="25" t="s">
        <v>117</v>
      </c>
      <c r="C28" s="25"/>
      <c r="D28" s="25"/>
      <c r="E28" s="25"/>
      <c r="F28" s="25">
        <v>115.38</v>
      </c>
      <c r="G28" s="25" t="s">
        <v>103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0">
        <v>45676</v>
      </c>
      <c r="B29" s="25" t="s">
        <v>120</v>
      </c>
      <c r="C29" s="25" t="s">
        <v>49</v>
      </c>
      <c r="D29" s="25">
        <v>104215</v>
      </c>
      <c r="E29" s="25">
        <v>7.3999999999999999E-4</v>
      </c>
      <c r="F29" s="25">
        <f>D29*E29</f>
        <v>77.119100000000003</v>
      </c>
      <c r="G29" s="107" t="s">
        <v>84</v>
      </c>
      <c r="H29" s="25" t="s">
        <v>61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0">
        <v>45678</v>
      </c>
      <c r="B30" s="25" t="s">
        <v>117</v>
      </c>
      <c r="C30" s="25"/>
      <c r="D30" s="25"/>
      <c r="E30" s="25"/>
      <c r="F30" s="25">
        <v>384.6</v>
      </c>
      <c r="G30" s="25" t="s">
        <v>104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0">
        <v>45716</v>
      </c>
      <c r="B31" s="25" t="s">
        <v>118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86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0">
        <v>45670</v>
      </c>
      <c r="B32" s="25" t="s">
        <v>118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91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0">
        <v>45672</v>
      </c>
      <c r="B33" s="25" t="s">
        <v>120</v>
      </c>
      <c r="C33" s="25" t="s">
        <v>49</v>
      </c>
      <c r="D33" s="25">
        <v>99000</v>
      </c>
      <c r="E33" s="25">
        <v>3.21419E-3</v>
      </c>
      <c r="F33" s="25">
        <f>D33*E33</f>
        <v>318.20481000000001</v>
      </c>
      <c r="G33" s="25" t="s">
        <v>92</v>
      </c>
      <c r="H33" s="25" t="s">
        <v>67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0">
        <v>45676</v>
      </c>
      <c r="B34" s="25" t="s">
        <v>120</v>
      </c>
      <c r="C34" s="25" t="s">
        <v>49</v>
      </c>
      <c r="D34" s="25">
        <v>103753</v>
      </c>
      <c r="E34" s="25">
        <v>1.0399999999999999E-4</v>
      </c>
      <c r="F34" s="25">
        <f>D34*E34</f>
        <v>10.790312</v>
      </c>
      <c r="G34" s="25" t="s">
        <v>99</v>
      </c>
      <c r="H34" s="25" t="s">
        <v>67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0">
        <v>45750</v>
      </c>
      <c r="B35" s="25" t="s">
        <v>120</v>
      </c>
      <c r="C35" s="25" t="s">
        <v>49</v>
      </c>
      <c r="D35" s="25">
        <v>83000</v>
      </c>
      <c r="E35" s="25">
        <v>2E-3</v>
      </c>
      <c r="F35" s="25">
        <f>D35*E35</f>
        <v>166</v>
      </c>
      <c r="G35" s="25" t="s">
        <v>100</v>
      </c>
      <c r="H35" s="25" t="s">
        <v>61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0">
        <v>45793</v>
      </c>
      <c r="B36" s="25" t="s">
        <v>117</v>
      </c>
      <c r="C36" s="25"/>
      <c r="D36" s="25"/>
      <c r="E36" s="25"/>
      <c r="F36" s="25">
        <v>1104</v>
      </c>
      <c r="G36" s="25" t="s">
        <v>105</v>
      </c>
      <c r="H36" s="25" t="s">
        <v>61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0">
        <v>45835</v>
      </c>
      <c r="B37" s="25" t="s">
        <v>119</v>
      </c>
      <c r="C37" s="25"/>
      <c r="D37" s="25"/>
      <c r="E37" s="25"/>
      <c r="F37" s="25">
        <v>300</v>
      </c>
      <c r="G37" s="25" t="s">
        <v>612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0">
        <v>45870</v>
      </c>
      <c r="B38" s="25" t="s">
        <v>118</v>
      </c>
      <c r="C38" s="25" t="s">
        <v>80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157</v>
      </c>
      <c r="H38" s="25" t="s">
        <v>61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0">
        <v>45870</v>
      </c>
      <c r="B39" s="25" t="s">
        <v>118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157</v>
      </c>
      <c r="H39" s="25" t="s">
        <v>61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0">
        <v>45870</v>
      </c>
      <c r="B40" s="25" t="s">
        <v>118</v>
      </c>
      <c r="C40" s="25" t="s">
        <v>101</v>
      </c>
      <c r="D40" s="25">
        <v>3.45</v>
      </c>
      <c r="E40" s="25">
        <v>25.1</v>
      </c>
      <c r="F40" s="25">
        <f t="shared" si="1"/>
        <v>86.595000000000013</v>
      </c>
      <c r="G40" s="25" t="s">
        <v>157</v>
      </c>
      <c r="H40" s="25" t="s">
        <v>61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0">
        <v>45870</v>
      </c>
      <c r="B41" s="25" t="s">
        <v>118</v>
      </c>
      <c r="C41" s="25" t="s">
        <v>85</v>
      </c>
      <c r="D41" s="25">
        <v>2.2599999999999999E-2</v>
      </c>
      <c r="E41" s="25">
        <v>2059</v>
      </c>
      <c r="F41" s="25">
        <f t="shared" si="1"/>
        <v>46.5334</v>
      </c>
      <c r="G41" s="25" t="s">
        <v>157</v>
      </c>
      <c r="H41" s="25" t="s">
        <v>61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0">
        <v>45870</v>
      </c>
      <c r="B42" s="25" t="s">
        <v>118</v>
      </c>
      <c r="C42" s="25" t="s">
        <v>83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157</v>
      </c>
      <c r="H42" s="25" t="s">
        <v>61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0">
        <v>45870</v>
      </c>
      <c r="B43" s="25" t="s">
        <v>118</v>
      </c>
      <c r="C43" s="25" t="s">
        <v>82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157</v>
      </c>
      <c r="H43" s="25" t="s">
        <v>61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0">
        <v>45870</v>
      </c>
      <c r="B44" s="25" t="s">
        <v>118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157</v>
      </c>
      <c r="H44" s="25" t="s">
        <v>67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0">
        <v>45870</v>
      </c>
      <c r="B45" s="25" t="s">
        <v>118</v>
      </c>
      <c r="C45" s="25" t="s">
        <v>79</v>
      </c>
      <c r="D45" s="25">
        <v>0.96399999999999997</v>
      </c>
      <c r="E45" s="25">
        <v>93.75</v>
      </c>
      <c r="F45" s="25">
        <f t="shared" si="1"/>
        <v>90.375</v>
      </c>
      <c r="G45" s="25" t="s">
        <v>157</v>
      </c>
      <c r="H45" s="25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0">
        <v>45870</v>
      </c>
      <c r="B46" s="25" t="s">
        <v>118</v>
      </c>
      <c r="C46" s="25" t="s">
        <v>111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157</v>
      </c>
      <c r="H46" s="25" t="s">
        <v>67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0">
        <v>45870</v>
      </c>
      <c r="B47" s="25" t="s">
        <v>118</v>
      </c>
      <c r="C47" s="25" t="s">
        <v>90</v>
      </c>
      <c r="D47" s="25">
        <v>16.07</v>
      </c>
      <c r="E47" s="25">
        <v>2.5</v>
      </c>
      <c r="F47" s="25">
        <f t="shared" si="1"/>
        <v>40.174999999999997</v>
      </c>
      <c r="G47" s="25" t="s">
        <v>157</v>
      </c>
      <c r="H47" s="25" t="s">
        <v>67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0">
        <v>45870</v>
      </c>
      <c r="B48" s="25" t="s">
        <v>118</v>
      </c>
      <c r="C48" s="25" t="s">
        <v>88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157</v>
      </c>
      <c r="H48" s="25" t="s">
        <v>67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0">
        <v>45870</v>
      </c>
      <c r="B49" s="25" t="s">
        <v>118</v>
      </c>
      <c r="C49" s="25" t="s">
        <v>89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157</v>
      </c>
      <c r="H49" s="25" t="s">
        <v>67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0">
        <v>45870</v>
      </c>
      <c r="B50" s="25" t="s">
        <v>118</v>
      </c>
      <c r="C50" s="25" t="s">
        <v>87</v>
      </c>
      <c r="D50" s="25">
        <v>6.94</v>
      </c>
      <c r="E50" s="25">
        <v>3.3</v>
      </c>
      <c r="F50" s="25">
        <f t="shared" si="1"/>
        <v>22.902000000000001</v>
      </c>
      <c r="G50" s="25" t="s">
        <v>157</v>
      </c>
      <c r="H50" s="25" t="s">
        <v>67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0">
        <v>45870</v>
      </c>
      <c r="B51" s="25" t="s">
        <v>118</v>
      </c>
      <c r="C51" s="25" t="s">
        <v>613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141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0">
        <v>45870</v>
      </c>
      <c r="B52" s="25" t="s">
        <v>120</v>
      </c>
      <c r="C52" s="25" t="s">
        <v>613</v>
      </c>
      <c r="D52" s="25">
        <v>0</v>
      </c>
      <c r="E52" s="25">
        <v>387.7</v>
      </c>
      <c r="F52" s="25">
        <f t="shared" si="1"/>
        <v>0</v>
      </c>
      <c r="G52" s="25" t="s">
        <v>614</v>
      </c>
      <c r="H52" s="25" t="s">
        <v>141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0">
        <v>45887</v>
      </c>
      <c r="B53" s="25" t="s">
        <v>118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121</v>
      </c>
      <c r="H53" s="25" t="s">
        <v>61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0">
        <v>45909</v>
      </c>
      <c r="B54" s="25" t="s">
        <v>118</v>
      </c>
      <c r="C54" s="25" t="s">
        <v>154</v>
      </c>
      <c r="D54" s="25">
        <v>1.2206999999999999</v>
      </c>
      <c r="E54" s="25">
        <v>81.92</v>
      </c>
      <c r="F54" s="25">
        <f t="shared" si="1"/>
        <v>99.999743999999993</v>
      </c>
      <c r="G54" s="107" t="s">
        <v>156</v>
      </c>
      <c r="H54" s="25" t="s">
        <v>141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0">
        <v>45909</v>
      </c>
      <c r="B55" s="25" t="s">
        <v>118</v>
      </c>
      <c r="C55" s="25" t="s">
        <v>155</v>
      </c>
      <c r="D55" s="25">
        <v>50.74</v>
      </c>
      <c r="E55" s="25">
        <v>1.97</v>
      </c>
      <c r="F55" s="25">
        <f t="shared" si="1"/>
        <v>99.957800000000006</v>
      </c>
      <c r="G55" s="107" t="s">
        <v>156</v>
      </c>
      <c r="H55" s="25" t="s">
        <v>141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1">
        <v>45889</v>
      </c>
      <c r="B1" s="25" t="s">
        <v>118</v>
      </c>
      <c r="C1" s="20" t="s">
        <v>35</v>
      </c>
      <c r="D1" s="20">
        <v>200</v>
      </c>
      <c r="E1" s="20">
        <v>2</v>
      </c>
      <c r="F1" s="72">
        <f>IF(B1="Buy",(-1)*D1*E1,D1*E1)</f>
        <v>-400</v>
      </c>
    </row>
    <row r="2" spans="1:6" x14ac:dyDescent="0.2">
      <c r="A2" s="71">
        <v>45890</v>
      </c>
      <c r="B2" s="25" t="s">
        <v>120</v>
      </c>
      <c r="C2" s="20" t="s">
        <v>35</v>
      </c>
      <c r="D2" s="20">
        <v>180</v>
      </c>
      <c r="E2" s="20">
        <v>1</v>
      </c>
      <c r="F2" s="72">
        <f>IF(B2="Buy",(-1)*D2*E2,D2*E2)</f>
        <v>180</v>
      </c>
    </row>
    <row r="3" spans="1:6" x14ac:dyDescent="0.2">
      <c r="A3" s="71">
        <v>45899</v>
      </c>
      <c r="B3" s="25" t="s">
        <v>118</v>
      </c>
      <c r="C3" s="20" t="s">
        <v>49</v>
      </c>
      <c r="D3" s="20">
        <v>100000</v>
      </c>
      <c r="E3" s="20">
        <v>1</v>
      </c>
      <c r="F3" s="72">
        <f>IF(B3="Buy",(-1)*D3*E3,D3*E3)</f>
        <v>-100000</v>
      </c>
    </row>
    <row r="4" spans="1:6" x14ac:dyDescent="0.2">
      <c r="A4" s="71">
        <v>45900</v>
      </c>
      <c r="B4" s="25" t="s">
        <v>120</v>
      </c>
      <c r="C4" s="20" t="s">
        <v>49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107</v>
      </c>
      <c r="B9" s="21" t="s">
        <v>112</v>
      </c>
      <c r="C9" s="21" t="s">
        <v>113</v>
      </c>
      <c r="D9" s="22" t="s">
        <v>114</v>
      </c>
      <c r="E9" s="22" t="s">
        <v>122</v>
      </c>
      <c r="F9" s="22" t="s">
        <v>115</v>
      </c>
    </row>
    <row r="10" spans="1:6" x14ac:dyDescent="0.2">
      <c r="A10" s="70">
        <v>44873</v>
      </c>
      <c r="B10" s="25" t="s">
        <v>117</v>
      </c>
      <c r="C10" s="25"/>
      <c r="D10" s="25"/>
      <c r="E10" s="25"/>
      <c r="F10" s="25">
        <v>118</v>
      </c>
    </row>
    <row r="11" spans="1:6" x14ac:dyDescent="0.2">
      <c r="A11" s="70">
        <v>44874</v>
      </c>
      <c r="B11" s="25" t="s">
        <v>118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0">
        <v>44900</v>
      </c>
      <c r="B12" s="25" t="s">
        <v>119</v>
      </c>
      <c r="C12" s="25"/>
      <c r="D12" s="25"/>
      <c r="E12" s="25"/>
      <c r="F12" s="25">
        <v>45</v>
      </c>
    </row>
    <row r="13" spans="1:6" x14ac:dyDescent="0.2">
      <c r="A13" s="70">
        <v>45099</v>
      </c>
      <c r="B13" s="25" t="s">
        <v>117</v>
      </c>
      <c r="C13" s="25"/>
      <c r="D13" s="25"/>
      <c r="E13" s="25"/>
      <c r="F13" s="25">
        <v>100</v>
      </c>
    </row>
    <row r="14" spans="1:6" x14ac:dyDescent="0.2">
      <c r="A14" s="70">
        <v>45362</v>
      </c>
      <c r="B14" s="25" t="s">
        <v>120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0">
        <v>45383</v>
      </c>
      <c r="B15" s="25" t="s">
        <v>117</v>
      </c>
      <c r="C15" s="25"/>
      <c r="D15" s="25"/>
      <c r="E15" s="25"/>
      <c r="F15" s="25">
        <v>200</v>
      </c>
    </row>
    <row r="16" spans="1:6" x14ac:dyDescent="0.2">
      <c r="A16" s="70">
        <v>45395</v>
      </c>
      <c r="B16" s="25" t="s">
        <v>117</v>
      </c>
      <c r="C16" s="25"/>
      <c r="D16" s="25"/>
      <c r="E16" s="25"/>
      <c r="F16" s="25">
        <v>75</v>
      </c>
    </row>
    <row r="17" spans="1:6" x14ac:dyDescent="0.2">
      <c r="A17" s="70">
        <v>45396</v>
      </c>
      <c r="B17" s="25" t="s">
        <v>118</v>
      </c>
      <c r="C17" s="25" t="s">
        <v>49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0">
        <v>45399</v>
      </c>
      <c r="B18" s="25" t="s">
        <v>117</v>
      </c>
      <c r="C18" s="25"/>
      <c r="D18" s="25"/>
      <c r="E18" s="25"/>
      <c r="F18" s="25">
        <v>189</v>
      </c>
    </row>
    <row r="19" spans="1:6" x14ac:dyDescent="0.2">
      <c r="A19" s="70">
        <v>45399</v>
      </c>
      <c r="B19" s="25" t="s">
        <v>118</v>
      </c>
      <c r="C19" s="25" t="s">
        <v>49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0">
        <v>45399</v>
      </c>
      <c r="B20" s="25" t="s">
        <v>118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0">
        <v>45457</v>
      </c>
      <c r="B21" s="25" t="s">
        <v>117</v>
      </c>
      <c r="C21" s="25"/>
      <c r="D21" s="25"/>
      <c r="E21" s="25"/>
      <c r="F21" s="25">
        <v>581</v>
      </c>
    </row>
    <row r="22" spans="1:6" x14ac:dyDescent="0.2">
      <c r="A22" s="70">
        <v>45461</v>
      </c>
      <c r="B22" s="25" t="s">
        <v>118</v>
      </c>
      <c r="C22" s="25" t="s">
        <v>49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0">
        <v>45477</v>
      </c>
      <c r="B23" s="25" t="s">
        <v>118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0">
        <v>45467</v>
      </c>
      <c r="B24" s="25" t="s">
        <v>117</v>
      </c>
      <c r="C24" s="25"/>
      <c r="D24" s="25"/>
      <c r="E24" s="25"/>
      <c r="F24" s="25">
        <v>577</v>
      </c>
    </row>
    <row r="25" spans="1:6" x14ac:dyDescent="0.2">
      <c r="A25" s="70">
        <v>45468</v>
      </c>
      <c r="B25" s="25" t="s">
        <v>118</v>
      </c>
      <c r="C25" s="25" t="s">
        <v>49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0">
        <v>45477</v>
      </c>
      <c r="B26" s="25" t="s">
        <v>118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0">
        <v>45481</v>
      </c>
      <c r="B27" s="25" t="s">
        <v>117</v>
      </c>
      <c r="C27" s="25"/>
      <c r="D27" s="25"/>
      <c r="E27" s="25"/>
      <c r="F27" s="25">
        <v>384</v>
      </c>
    </row>
    <row r="28" spans="1:6" x14ac:dyDescent="0.2">
      <c r="A28" s="70">
        <v>45509</v>
      </c>
      <c r="B28" s="25" t="s">
        <v>118</v>
      </c>
      <c r="C28" s="25" t="s">
        <v>49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0">
        <v>45506</v>
      </c>
      <c r="B29" s="25" t="s">
        <v>118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0">
        <v>45541</v>
      </c>
      <c r="B30" s="25" t="s">
        <v>117</v>
      </c>
      <c r="C30" s="25"/>
      <c r="D30" s="25"/>
      <c r="E30" s="25"/>
      <c r="F30" s="25">
        <v>792</v>
      </c>
    </row>
    <row r="31" spans="1:6" x14ac:dyDescent="0.2">
      <c r="A31" s="70">
        <v>45541</v>
      </c>
      <c r="B31" s="25" t="s">
        <v>118</v>
      </c>
      <c r="C31" s="25" t="s">
        <v>49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0">
        <v>45542</v>
      </c>
      <c r="B32" s="25" t="s">
        <v>118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0">
        <v>45595</v>
      </c>
      <c r="B33" s="25" t="s">
        <v>120</v>
      </c>
      <c r="C33" s="59" t="s">
        <v>49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0">
        <v>45601</v>
      </c>
      <c r="B34" s="25" t="s">
        <v>118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0">
        <v>45622</v>
      </c>
      <c r="B35" s="25" t="s">
        <v>120</v>
      </c>
      <c r="C35" s="20" t="s">
        <v>49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0">
        <v>45622</v>
      </c>
      <c r="B36" s="25" t="s">
        <v>120</v>
      </c>
      <c r="C36" s="20" t="s">
        <v>49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1">
        <v>45663</v>
      </c>
      <c r="B37" s="25" t="s">
        <v>120</v>
      </c>
      <c r="C37" s="20" t="s">
        <v>49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1">
        <v>45670</v>
      </c>
      <c r="B38" s="25" t="s">
        <v>117</v>
      </c>
      <c r="C38" s="20"/>
      <c r="D38" s="20"/>
      <c r="E38" s="20"/>
      <c r="F38" s="25">
        <v>115.38</v>
      </c>
    </row>
    <row r="39" spans="1:6" x14ac:dyDescent="0.2">
      <c r="A39" s="71">
        <v>45676</v>
      </c>
      <c r="B39" s="25" t="s">
        <v>120</v>
      </c>
      <c r="C39" s="20" t="s">
        <v>49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1">
        <v>45678</v>
      </c>
      <c r="B40" s="25" t="s">
        <v>117</v>
      </c>
      <c r="C40" s="20"/>
      <c r="D40" s="20"/>
      <c r="E40" s="20"/>
      <c r="F40" s="25">
        <v>384.6</v>
      </c>
    </row>
    <row r="41" spans="1:6" x14ac:dyDescent="0.2">
      <c r="A41" s="71">
        <v>45716</v>
      </c>
      <c r="B41" s="25" t="s">
        <v>118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1">
        <v>45670</v>
      </c>
      <c r="B42" s="25" t="s">
        <v>118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1">
        <v>45672</v>
      </c>
      <c r="B43" s="25" t="s">
        <v>120</v>
      </c>
      <c r="C43" s="20" t="s">
        <v>49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1">
        <v>45676</v>
      </c>
      <c r="B44" s="25" t="s">
        <v>120</v>
      </c>
      <c r="C44" s="20" t="s">
        <v>49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1">
        <v>45750</v>
      </c>
      <c r="B45" s="25" t="s">
        <v>120</v>
      </c>
      <c r="C45" s="20" t="s">
        <v>49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1">
        <v>45793</v>
      </c>
      <c r="B46" s="25" t="s">
        <v>117</v>
      </c>
      <c r="C46" s="20"/>
      <c r="D46" s="20"/>
      <c r="E46" s="20"/>
      <c r="F46" s="25">
        <v>1104</v>
      </c>
    </row>
    <row r="47" spans="1:6" x14ac:dyDescent="0.2">
      <c r="A47" s="71">
        <v>45887</v>
      </c>
      <c r="B47" s="25" t="s">
        <v>118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32"/>
  <sheetViews>
    <sheetView zoomScale="115" zoomScaleNormal="115" workbookViewId="0">
      <pane ySplit="1" topLeftCell="A504" activePane="bottomLeft" state="frozen"/>
      <selection pane="bottomLeft" activeCell="J542" sqref="J542"/>
    </sheetView>
  </sheetViews>
  <sheetFormatPr defaultRowHeight="12.75" x14ac:dyDescent="0.2"/>
  <cols>
    <col min="1" max="1" width="10.140625" style="172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44.140625" style="32" bestFit="1" customWidth="1"/>
    <col min="13" max="13" width="5.5703125" style="73" bestFit="1" customWidth="1"/>
    <col min="14" max="14" width="8.140625" style="69" bestFit="1" customWidth="1"/>
    <col min="15" max="15" width="5.5703125" style="23" bestFit="1" customWidth="1"/>
    <col min="16" max="16" width="4" style="23" bestFit="1" customWidth="1"/>
    <col min="17" max="17" width="6.85546875" style="85" bestFit="1" customWidth="1"/>
    <col min="19" max="21" width="5.5703125" style="23" bestFit="1" customWidth="1"/>
  </cols>
  <sheetData>
    <row r="1" spans="1:21" s="92" customFormat="1" ht="31.5" customHeight="1" x14ac:dyDescent="0.2">
      <c r="A1" s="86" t="s">
        <v>107</v>
      </c>
      <c r="B1" s="87" t="s">
        <v>142</v>
      </c>
      <c r="C1" s="87" t="s">
        <v>113</v>
      </c>
      <c r="D1" s="87" t="s">
        <v>0</v>
      </c>
      <c r="E1" s="87" t="s">
        <v>108</v>
      </c>
      <c r="F1" s="87" t="s">
        <v>109</v>
      </c>
      <c r="G1" s="87" t="s">
        <v>110</v>
      </c>
      <c r="H1" s="84" t="s">
        <v>49</v>
      </c>
      <c r="I1" s="84" t="s">
        <v>147</v>
      </c>
      <c r="J1" s="84" t="s">
        <v>146</v>
      </c>
      <c r="K1" s="84" t="s">
        <v>145</v>
      </c>
      <c r="L1" s="97" t="s">
        <v>150</v>
      </c>
      <c r="M1" s="88"/>
      <c r="N1" s="89"/>
      <c r="O1" s="87"/>
      <c r="P1" s="87"/>
      <c r="Q1" s="90"/>
      <c r="R1" s="91"/>
      <c r="S1" s="87"/>
      <c r="T1" s="87"/>
      <c r="U1" s="87"/>
    </row>
    <row r="2" spans="1:21" x14ac:dyDescent="0.2">
      <c r="A2" s="172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161</v>
      </c>
    </row>
    <row r="3" spans="1:21" x14ac:dyDescent="0.2">
      <c r="A3" s="172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162</v>
      </c>
    </row>
    <row r="4" spans="1:21" x14ac:dyDescent="0.2">
      <c r="A4" s="172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163</v>
      </c>
    </row>
    <row r="5" spans="1:21" x14ac:dyDescent="0.2">
      <c r="A5" s="172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163</v>
      </c>
    </row>
    <row r="6" spans="1:21" x14ac:dyDescent="0.2">
      <c r="A6" s="172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163</v>
      </c>
    </row>
    <row r="7" spans="1:21" x14ac:dyDescent="0.2">
      <c r="A7" s="172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163</v>
      </c>
    </row>
    <row r="8" spans="1:21" x14ac:dyDescent="0.2">
      <c r="A8" s="172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164</v>
      </c>
    </row>
    <row r="9" spans="1:21" x14ac:dyDescent="0.2">
      <c r="A9" s="172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165</v>
      </c>
    </row>
    <row r="10" spans="1:21" x14ac:dyDescent="0.2">
      <c r="A10" s="172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161</v>
      </c>
    </row>
    <row r="11" spans="1:21" x14ac:dyDescent="0.2">
      <c r="A11" s="172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161</v>
      </c>
    </row>
    <row r="12" spans="1:21" x14ac:dyDescent="0.2">
      <c r="A12" s="172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161</v>
      </c>
    </row>
    <row r="13" spans="1:21" x14ac:dyDescent="0.2">
      <c r="A13" s="172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162</v>
      </c>
    </row>
    <row r="14" spans="1:21" x14ac:dyDescent="0.2">
      <c r="A14" s="172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166</v>
      </c>
    </row>
    <row r="15" spans="1:21" x14ac:dyDescent="0.2">
      <c r="A15" s="172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167</v>
      </c>
    </row>
    <row r="16" spans="1:21" x14ac:dyDescent="0.2">
      <c r="A16" s="172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168</v>
      </c>
    </row>
    <row r="17" spans="1:12" x14ac:dyDescent="0.2">
      <c r="A17" s="172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168</v>
      </c>
    </row>
    <row r="18" spans="1:12" x14ac:dyDescent="0.2">
      <c r="A18" s="172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169</v>
      </c>
    </row>
    <row r="19" spans="1:12" x14ac:dyDescent="0.2">
      <c r="A19" s="172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170</v>
      </c>
    </row>
    <row r="20" spans="1:12" x14ac:dyDescent="0.2">
      <c r="A20" s="172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171</v>
      </c>
    </row>
    <row r="21" spans="1:12" x14ac:dyDescent="0.2">
      <c r="A21" s="172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172</v>
      </c>
    </row>
    <row r="22" spans="1:12" x14ac:dyDescent="0.2">
      <c r="A22" s="172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172</v>
      </c>
    </row>
    <row r="23" spans="1:12" x14ac:dyDescent="0.2">
      <c r="A23" s="172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173</v>
      </c>
    </row>
    <row r="24" spans="1:12" x14ac:dyDescent="0.2">
      <c r="A24" s="172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174</v>
      </c>
    </row>
    <row r="25" spans="1:12" x14ac:dyDescent="0.2">
      <c r="A25" s="172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175</v>
      </c>
    </row>
    <row r="26" spans="1:12" x14ac:dyDescent="0.2">
      <c r="A26" s="172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175</v>
      </c>
    </row>
    <row r="27" spans="1:12" x14ac:dyDescent="0.2">
      <c r="A27" s="172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176</v>
      </c>
    </row>
    <row r="28" spans="1:12" x14ac:dyDescent="0.2">
      <c r="A28" s="172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177</v>
      </c>
    </row>
    <row r="29" spans="1:12" x14ac:dyDescent="0.2">
      <c r="A29" s="172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177</v>
      </c>
    </row>
    <row r="30" spans="1:12" x14ac:dyDescent="0.2">
      <c r="A30" s="172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178</v>
      </c>
    </row>
    <row r="31" spans="1:12" x14ac:dyDescent="0.2">
      <c r="A31" s="172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179</v>
      </c>
    </row>
    <row r="32" spans="1:12" x14ac:dyDescent="0.2">
      <c r="A32" s="172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180</v>
      </c>
    </row>
    <row r="33" spans="1:12" x14ac:dyDescent="0.2">
      <c r="A33" s="172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181</v>
      </c>
    </row>
    <row r="34" spans="1:12" x14ac:dyDescent="0.2">
      <c r="A34" s="172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182</v>
      </c>
    </row>
    <row r="35" spans="1:12" x14ac:dyDescent="0.2">
      <c r="A35" s="172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176</v>
      </c>
    </row>
    <row r="36" spans="1:12" x14ac:dyDescent="0.2">
      <c r="A36" s="172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183</v>
      </c>
    </row>
    <row r="37" spans="1:12" x14ac:dyDescent="0.2">
      <c r="A37" s="172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170</v>
      </c>
    </row>
    <row r="38" spans="1:12" x14ac:dyDescent="0.2">
      <c r="A38" s="172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184</v>
      </c>
    </row>
    <row r="39" spans="1:12" x14ac:dyDescent="0.2">
      <c r="A39" s="172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169</v>
      </c>
    </row>
    <row r="40" spans="1:12" x14ac:dyDescent="0.2">
      <c r="A40" s="172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185</v>
      </c>
    </row>
    <row r="41" spans="1:12" x14ac:dyDescent="0.2">
      <c r="A41" s="172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186</v>
      </c>
    </row>
    <row r="42" spans="1:12" x14ac:dyDescent="0.2">
      <c r="A42" s="172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186</v>
      </c>
    </row>
    <row r="43" spans="1:12" x14ac:dyDescent="0.2">
      <c r="A43" s="172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187</v>
      </c>
    </row>
    <row r="44" spans="1:12" x14ac:dyDescent="0.2">
      <c r="A44" s="172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188</v>
      </c>
    </row>
    <row r="45" spans="1:12" x14ac:dyDescent="0.2">
      <c r="A45" s="172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189</v>
      </c>
    </row>
    <row r="46" spans="1:12" x14ac:dyDescent="0.2">
      <c r="A46" s="172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190</v>
      </c>
    </row>
    <row r="47" spans="1:12" x14ac:dyDescent="0.2">
      <c r="A47" s="172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191</v>
      </c>
    </row>
    <row r="48" spans="1:12" x14ac:dyDescent="0.2">
      <c r="A48" s="172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192</v>
      </c>
    </row>
    <row r="49" spans="1:12" x14ac:dyDescent="0.2">
      <c r="A49" s="172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193</v>
      </c>
    </row>
    <row r="50" spans="1:12" x14ac:dyDescent="0.2">
      <c r="A50" s="172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194</v>
      </c>
    </row>
    <row r="51" spans="1:12" x14ac:dyDescent="0.2">
      <c r="A51" s="172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195</v>
      </c>
    </row>
    <row r="52" spans="1:12" x14ac:dyDescent="0.2">
      <c r="A52" s="172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196</v>
      </c>
    </row>
    <row r="53" spans="1:12" x14ac:dyDescent="0.2">
      <c r="A53" s="172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197</v>
      </c>
    </row>
    <row r="54" spans="1:12" x14ac:dyDescent="0.2">
      <c r="A54" s="172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198</v>
      </c>
    </row>
    <row r="55" spans="1:12" x14ac:dyDescent="0.2">
      <c r="A55" s="172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199</v>
      </c>
    </row>
    <row r="56" spans="1:12" x14ac:dyDescent="0.2">
      <c r="A56" s="172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197</v>
      </c>
    </row>
    <row r="57" spans="1:12" x14ac:dyDescent="0.2">
      <c r="A57" s="172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200</v>
      </c>
    </row>
    <row r="58" spans="1:12" x14ac:dyDescent="0.2">
      <c r="A58" s="172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201</v>
      </c>
    </row>
    <row r="59" spans="1:12" x14ac:dyDescent="0.2">
      <c r="A59" s="172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202</v>
      </c>
    </row>
    <row r="60" spans="1:12" x14ac:dyDescent="0.2">
      <c r="A60" s="172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203</v>
      </c>
    </row>
    <row r="61" spans="1:12" x14ac:dyDescent="0.2">
      <c r="A61" s="172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204</v>
      </c>
    </row>
    <row r="62" spans="1:12" x14ac:dyDescent="0.2">
      <c r="A62" s="172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203</v>
      </c>
    </row>
    <row r="63" spans="1:12" x14ac:dyDescent="0.2">
      <c r="A63" s="172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205</v>
      </c>
    </row>
    <row r="64" spans="1:12" x14ac:dyDescent="0.2">
      <c r="A64" s="172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203</v>
      </c>
    </row>
    <row r="65" spans="1:12" x14ac:dyDescent="0.2">
      <c r="A65" s="172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206</v>
      </c>
    </row>
    <row r="66" spans="1:12" x14ac:dyDescent="0.2">
      <c r="A66" s="172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207</v>
      </c>
    </row>
    <row r="67" spans="1:12" x14ac:dyDescent="0.2">
      <c r="A67" s="172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208</v>
      </c>
    </row>
    <row r="68" spans="1:12" x14ac:dyDescent="0.2">
      <c r="A68" s="172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207</v>
      </c>
    </row>
    <row r="69" spans="1:12" x14ac:dyDescent="0.2">
      <c r="A69" s="172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209</v>
      </c>
    </row>
    <row r="70" spans="1:12" x14ac:dyDescent="0.2">
      <c r="A70" s="172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209</v>
      </c>
    </row>
    <row r="71" spans="1:12" x14ac:dyDescent="0.2">
      <c r="A71" s="172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210</v>
      </c>
    </row>
    <row r="72" spans="1:12" x14ac:dyDescent="0.2">
      <c r="A72" s="172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211</v>
      </c>
    </row>
    <row r="73" spans="1:12" x14ac:dyDescent="0.2">
      <c r="A73" s="172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212</v>
      </c>
    </row>
    <row r="74" spans="1:12" x14ac:dyDescent="0.2">
      <c r="A74" s="172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213</v>
      </c>
    </row>
    <row r="75" spans="1:12" x14ac:dyDescent="0.2">
      <c r="A75" s="172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214</v>
      </c>
    </row>
    <row r="76" spans="1:12" x14ac:dyDescent="0.2">
      <c r="A76" s="172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215</v>
      </c>
    </row>
    <row r="77" spans="1:12" x14ac:dyDescent="0.2">
      <c r="A77" s="172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216</v>
      </c>
    </row>
    <row r="78" spans="1:12" x14ac:dyDescent="0.2">
      <c r="A78" s="172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217</v>
      </c>
    </row>
    <row r="79" spans="1:12" x14ac:dyDescent="0.2">
      <c r="A79" s="172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218</v>
      </c>
    </row>
    <row r="80" spans="1:12" x14ac:dyDescent="0.2">
      <c r="A80" s="172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219</v>
      </c>
    </row>
    <row r="81" spans="1:12" x14ac:dyDescent="0.2">
      <c r="A81" s="172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220</v>
      </c>
    </row>
    <row r="82" spans="1:12" x14ac:dyDescent="0.2">
      <c r="A82" s="172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221</v>
      </c>
    </row>
    <row r="83" spans="1:12" x14ac:dyDescent="0.2">
      <c r="A83" s="172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222</v>
      </c>
    </row>
    <row r="84" spans="1:12" x14ac:dyDescent="0.2">
      <c r="A84" s="172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223</v>
      </c>
    </row>
    <row r="85" spans="1:12" x14ac:dyDescent="0.2">
      <c r="A85" s="172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224</v>
      </c>
    </row>
    <row r="86" spans="1:12" x14ac:dyDescent="0.2">
      <c r="A86" s="172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225</v>
      </c>
    </row>
    <row r="87" spans="1:12" x14ac:dyDescent="0.2">
      <c r="A87" s="172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226</v>
      </c>
    </row>
    <row r="88" spans="1:12" x14ac:dyDescent="0.2">
      <c r="A88" s="172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227</v>
      </c>
    </row>
    <row r="89" spans="1:12" x14ac:dyDescent="0.2">
      <c r="A89" s="172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228</v>
      </c>
    </row>
    <row r="90" spans="1:12" x14ac:dyDescent="0.2">
      <c r="A90" s="172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229</v>
      </c>
    </row>
    <row r="91" spans="1:12" x14ac:dyDescent="0.2">
      <c r="A91" s="172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230</v>
      </c>
    </row>
    <row r="92" spans="1:12" x14ac:dyDescent="0.2">
      <c r="A92" s="172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231</v>
      </c>
    </row>
    <row r="93" spans="1:12" x14ac:dyDescent="0.2">
      <c r="A93" s="172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232</v>
      </c>
    </row>
    <row r="94" spans="1:12" x14ac:dyDescent="0.2">
      <c r="A94" s="172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233</v>
      </c>
    </row>
    <row r="95" spans="1:12" x14ac:dyDescent="0.2">
      <c r="A95" s="172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234</v>
      </c>
    </row>
    <row r="96" spans="1:12" x14ac:dyDescent="0.2">
      <c r="A96" s="172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235</v>
      </c>
    </row>
    <row r="97" spans="1:12" x14ac:dyDescent="0.2">
      <c r="A97" s="172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236</v>
      </c>
    </row>
    <row r="98" spans="1:12" x14ac:dyDescent="0.2">
      <c r="A98" s="172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237</v>
      </c>
    </row>
    <row r="99" spans="1:12" x14ac:dyDescent="0.2">
      <c r="A99" s="172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238</v>
      </c>
    </row>
    <row r="100" spans="1:12" x14ac:dyDescent="0.2">
      <c r="A100" s="172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239</v>
      </c>
    </row>
    <row r="101" spans="1:12" x14ac:dyDescent="0.2">
      <c r="A101" s="172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240</v>
      </c>
    </row>
    <row r="102" spans="1:12" x14ac:dyDescent="0.2">
      <c r="A102" s="172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241</v>
      </c>
    </row>
    <row r="103" spans="1:12" x14ac:dyDescent="0.2">
      <c r="A103" s="172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242</v>
      </c>
    </row>
    <row r="104" spans="1:12" x14ac:dyDescent="0.2">
      <c r="A104" s="172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243</v>
      </c>
    </row>
    <row r="105" spans="1:12" x14ac:dyDescent="0.2">
      <c r="A105" s="172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244</v>
      </c>
    </row>
    <row r="106" spans="1:12" x14ac:dyDescent="0.2">
      <c r="A106" s="172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245</v>
      </c>
    </row>
    <row r="107" spans="1:12" x14ac:dyDescent="0.2">
      <c r="A107" s="172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246</v>
      </c>
    </row>
    <row r="108" spans="1:12" x14ac:dyDescent="0.2">
      <c r="A108" s="172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247</v>
      </c>
    </row>
    <row r="109" spans="1:12" x14ac:dyDescent="0.2">
      <c r="A109" s="172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248</v>
      </c>
    </row>
    <row r="110" spans="1:12" x14ac:dyDescent="0.2">
      <c r="A110" s="172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249</v>
      </c>
    </row>
    <row r="111" spans="1:12" x14ac:dyDescent="0.2">
      <c r="A111" s="172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250</v>
      </c>
    </row>
    <row r="112" spans="1:12" x14ac:dyDescent="0.2">
      <c r="A112" s="172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251</v>
      </c>
    </row>
    <row r="113" spans="1:12" x14ac:dyDescent="0.2">
      <c r="A113" s="172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252</v>
      </c>
    </row>
    <row r="114" spans="1:12" x14ac:dyDescent="0.2">
      <c r="A114" s="172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253</v>
      </c>
    </row>
    <row r="115" spans="1:12" x14ac:dyDescent="0.2">
      <c r="A115" s="172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254</v>
      </c>
    </row>
    <row r="116" spans="1:12" x14ac:dyDescent="0.2">
      <c r="A116" s="172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255</v>
      </c>
    </row>
    <row r="117" spans="1:12" x14ac:dyDescent="0.2">
      <c r="A117" s="172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256</v>
      </c>
    </row>
    <row r="118" spans="1:12" x14ac:dyDescent="0.2">
      <c r="A118" s="172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257</v>
      </c>
    </row>
    <row r="119" spans="1:12" x14ac:dyDescent="0.2">
      <c r="A119" s="172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258</v>
      </c>
    </row>
    <row r="120" spans="1:12" x14ac:dyDescent="0.2">
      <c r="A120" s="172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259</v>
      </c>
    </row>
    <row r="121" spans="1:12" x14ac:dyDescent="0.2">
      <c r="A121" s="172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260</v>
      </c>
    </row>
    <row r="122" spans="1:12" x14ac:dyDescent="0.2">
      <c r="A122" s="172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261</v>
      </c>
    </row>
    <row r="123" spans="1:12" x14ac:dyDescent="0.2">
      <c r="A123" s="172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262</v>
      </c>
    </row>
    <row r="124" spans="1:12" x14ac:dyDescent="0.2">
      <c r="A124" s="172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263</v>
      </c>
    </row>
    <row r="125" spans="1:12" x14ac:dyDescent="0.2">
      <c r="A125" s="172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264</v>
      </c>
    </row>
    <row r="126" spans="1:12" x14ac:dyDescent="0.2">
      <c r="A126" s="172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265</v>
      </c>
    </row>
    <row r="127" spans="1:12" x14ac:dyDescent="0.2">
      <c r="A127" s="172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266</v>
      </c>
    </row>
    <row r="128" spans="1:12" x14ac:dyDescent="0.2">
      <c r="A128" s="172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267</v>
      </c>
    </row>
    <row r="129" spans="1:12" x14ac:dyDescent="0.2">
      <c r="A129" s="172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268</v>
      </c>
    </row>
    <row r="130" spans="1:12" x14ac:dyDescent="0.2">
      <c r="A130" s="172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269</v>
      </c>
    </row>
    <row r="131" spans="1:12" x14ac:dyDescent="0.2">
      <c r="A131" s="172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270</v>
      </c>
    </row>
    <row r="132" spans="1:12" x14ac:dyDescent="0.2">
      <c r="A132" s="172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271</v>
      </c>
    </row>
    <row r="133" spans="1:12" x14ac:dyDescent="0.2">
      <c r="A133" s="172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272</v>
      </c>
    </row>
    <row r="134" spans="1:12" x14ac:dyDescent="0.2">
      <c r="A134" s="172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273</v>
      </c>
    </row>
    <row r="135" spans="1:12" x14ac:dyDescent="0.2">
      <c r="A135" s="172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274</v>
      </c>
    </row>
    <row r="136" spans="1:12" x14ac:dyDescent="0.2">
      <c r="A136" s="172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275</v>
      </c>
    </row>
    <row r="137" spans="1:12" x14ac:dyDescent="0.2">
      <c r="A137" s="172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276</v>
      </c>
    </row>
    <row r="138" spans="1:12" x14ac:dyDescent="0.2">
      <c r="A138" s="172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277</v>
      </c>
    </row>
    <row r="139" spans="1:12" x14ac:dyDescent="0.2">
      <c r="A139" s="172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278</v>
      </c>
    </row>
    <row r="140" spans="1:12" x14ac:dyDescent="0.2">
      <c r="A140" s="172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279</v>
      </c>
    </row>
    <row r="141" spans="1:12" x14ac:dyDescent="0.2">
      <c r="A141" s="172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280</v>
      </c>
    </row>
    <row r="142" spans="1:12" x14ac:dyDescent="0.2">
      <c r="A142" s="172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281</v>
      </c>
    </row>
    <row r="143" spans="1:12" x14ac:dyDescent="0.2">
      <c r="A143" s="172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282</v>
      </c>
    </row>
    <row r="144" spans="1:12" x14ac:dyDescent="0.2">
      <c r="A144" s="172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283</v>
      </c>
    </row>
    <row r="145" spans="1:12" x14ac:dyDescent="0.2">
      <c r="A145" s="172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284</v>
      </c>
    </row>
    <row r="146" spans="1:12" x14ac:dyDescent="0.2">
      <c r="A146" s="172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285</v>
      </c>
    </row>
    <row r="147" spans="1:12" x14ac:dyDescent="0.2">
      <c r="A147" s="172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286</v>
      </c>
    </row>
    <row r="148" spans="1:12" x14ac:dyDescent="0.2">
      <c r="A148" s="172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287</v>
      </c>
    </row>
    <row r="149" spans="1:12" x14ac:dyDescent="0.2">
      <c r="A149" s="172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288</v>
      </c>
    </row>
    <row r="150" spans="1:12" x14ac:dyDescent="0.2">
      <c r="A150" s="172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289</v>
      </c>
    </row>
    <row r="151" spans="1:12" x14ac:dyDescent="0.2">
      <c r="A151" s="172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290</v>
      </c>
    </row>
    <row r="152" spans="1:12" x14ac:dyDescent="0.2">
      <c r="A152" s="172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291</v>
      </c>
    </row>
    <row r="153" spans="1:12" x14ac:dyDescent="0.2">
      <c r="A153" s="172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292</v>
      </c>
    </row>
    <row r="154" spans="1:12" x14ac:dyDescent="0.2">
      <c r="A154" s="172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293</v>
      </c>
    </row>
    <row r="155" spans="1:12" x14ac:dyDescent="0.2">
      <c r="A155" s="172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294</v>
      </c>
    </row>
    <row r="156" spans="1:12" x14ac:dyDescent="0.2">
      <c r="A156" s="172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295</v>
      </c>
    </row>
    <row r="157" spans="1:12" x14ac:dyDescent="0.2">
      <c r="A157" s="172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296</v>
      </c>
    </row>
    <row r="158" spans="1:12" x14ac:dyDescent="0.2">
      <c r="A158" s="172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297</v>
      </c>
    </row>
    <row r="159" spans="1:12" x14ac:dyDescent="0.2">
      <c r="A159" s="172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298</v>
      </c>
    </row>
    <row r="160" spans="1:12" x14ac:dyDescent="0.2">
      <c r="A160" s="172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299</v>
      </c>
    </row>
    <row r="161" spans="1:12" x14ac:dyDescent="0.2">
      <c r="A161" s="172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300</v>
      </c>
    </row>
    <row r="162" spans="1:12" x14ac:dyDescent="0.2">
      <c r="A162" s="172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301</v>
      </c>
    </row>
    <row r="163" spans="1:12" x14ac:dyDescent="0.2">
      <c r="A163" s="172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302</v>
      </c>
    </row>
    <row r="164" spans="1:12" x14ac:dyDescent="0.2">
      <c r="A164" s="172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303</v>
      </c>
    </row>
    <row r="165" spans="1:12" x14ac:dyDescent="0.2">
      <c r="A165" s="172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304</v>
      </c>
    </row>
    <row r="166" spans="1:12" x14ac:dyDescent="0.2">
      <c r="A166" s="172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305</v>
      </c>
    </row>
    <row r="167" spans="1:12" x14ac:dyDescent="0.2">
      <c r="A167" s="172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306</v>
      </c>
    </row>
    <row r="168" spans="1:12" x14ac:dyDescent="0.2">
      <c r="A168" s="172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307</v>
      </c>
    </row>
    <row r="169" spans="1:12" x14ac:dyDescent="0.2">
      <c r="A169" s="172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308</v>
      </c>
    </row>
    <row r="170" spans="1:12" x14ac:dyDescent="0.2">
      <c r="A170" s="172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309</v>
      </c>
    </row>
    <row r="171" spans="1:12" x14ac:dyDescent="0.2">
      <c r="A171" s="172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310</v>
      </c>
    </row>
    <row r="172" spans="1:12" x14ac:dyDescent="0.2">
      <c r="A172" s="172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311</v>
      </c>
    </row>
    <row r="173" spans="1:12" x14ac:dyDescent="0.2">
      <c r="A173" s="172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312</v>
      </c>
    </row>
    <row r="174" spans="1:12" x14ac:dyDescent="0.2">
      <c r="A174" s="172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313</v>
      </c>
    </row>
    <row r="175" spans="1:12" x14ac:dyDescent="0.2">
      <c r="A175" s="172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314</v>
      </c>
    </row>
    <row r="176" spans="1:12" x14ac:dyDescent="0.2">
      <c r="A176" s="172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315</v>
      </c>
    </row>
    <row r="177" spans="1:12" x14ac:dyDescent="0.2">
      <c r="A177" s="172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316</v>
      </c>
    </row>
    <row r="178" spans="1:12" x14ac:dyDescent="0.2">
      <c r="A178" s="172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317</v>
      </c>
    </row>
    <row r="179" spans="1:12" x14ac:dyDescent="0.2">
      <c r="A179" s="172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318</v>
      </c>
    </row>
    <row r="180" spans="1:12" x14ac:dyDescent="0.2">
      <c r="A180" s="172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319</v>
      </c>
    </row>
    <row r="181" spans="1:12" x14ac:dyDescent="0.2">
      <c r="A181" s="172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320</v>
      </c>
    </row>
    <row r="182" spans="1:12" x14ac:dyDescent="0.2">
      <c r="A182" s="172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321</v>
      </c>
    </row>
    <row r="183" spans="1:12" x14ac:dyDescent="0.2">
      <c r="A183" s="172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322</v>
      </c>
    </row>
    <row r="184" spans="1:12" x14ac:dyDescent="0.2">
      <c r="A184" s="172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323</v>
      </c>
    </row>
    <row r="185" spans="1:12" x14ac:dyDescent="0.2">
      <c r="A185" s="172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324</v>
      </c>
    </row>
    <row r="186" spans="1:12" x14ac:dyDescent="0.2">
      <c r="A186" s="172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325</v>
      </c>
    </row>
    <row r="187" spans="1:12" x14ac:dyDescent="0.2">
      <c r="A187" s="172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326</v>
      </c>
    </row>
    <row r="188" spans="1:12" x14ac:dyDescent="0.2">
      <c r="A188" s="172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327</v>
      </c>
    </row>
    <row r="189" spans="1:12" x14ac:dyDescent="0.2">
      <c r="A189" s="172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327</v>
      </c>
    </row>
    <row r="190" spans="1:12" x14ac:dyDescent="0.2">
      <c r="A190" s="172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328</v>
      </c>
    </row>
    <row r="191" spans="1:12" x14ac:dyDescent="0.2">
      <c r="A191" s="172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329</v>
      </c>
    </row>
    <row r="192" spans="1:12" x14ac:dyDescent="0.2">
      <c r="A192" s="172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330</v>
      </c>
    </row>
    <row r="193" spans="1:12" x14ac:dyDescent="0.2">
      <c r="A193" s="172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331</v>
      </c>
    </row>
    <row r="194" spans="1:12" x14ac:dyDescent="0.2">
      <c r="A194" s="172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332</v>
      </c>
    </row>
    <row r="195" spans="1:12" x14ac:dyDescent="0.2">
      <c r="A195" s="172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333</v>
      </c>
    </row>
    <row r="196" spans="1:12" x14ac:dyDescent="0.2">
      <c r="A196" s="172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334</v>
      </c>
    </row>
    <row r="197" spans="1:12" x14ac:dyDescent="0.2">
      <c r="A197" s="172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335</v>
      </c>
    </row>
    <row r="198" spans="1:12" x14ac:dyDescent="0.2">
      <c r="A198" s="172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336</v>
      </c>
    </row>
    <row r="199" spans="1:12" x14ac:dyDescent="0.2">
      <c r="A199" s="172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337</v>
      </c>
    </row>
    <row r="200" spans="1:12" x14ac:dyDescent="0.2">
      <c r="A200" s="172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338</v>
      </c>
    </row>
    <row r="201" spans="1:12" x14ac:dyDescent="0.2">
      <c r="A201" s="172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339</v>
      </c>
    </row>
    <row r="202" spans="1:12" x14ac:dyDescent="0.2">
      <c r="A202" s="172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340</v>
      </c>
    </row>
    <row r="203" spans="1:12" x14ac:dyDescent="0.2">
      <c r="A203" s="172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341</v>
      </c>
    </row>
    <row r="204" spans="1:12" x14ac:dyDescent="0.2">
      <c r="A204" s="172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342</v>
      </c>
    </row>
    <row r="205" spans="1:12" x14ac:dyDescent="0.2">
      <c r="A205" s="172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343</v>
      </c>
    </row>
    <row r="206" spans="1:12" x14ac:dyDescent="0.2">
      <c r="A206" s="172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344</v>
      </c>
    </row>
    <row r="207" spans="1:12" x14ac:dyDescent="0.2">
      <c r="A207" s="172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345</v>
      </c>
    </row>
    <row r="208" spans="1:12" x14ac:dyDescent="0.2">
      <c r="A208" s="172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346</v>
      </c>
    </row>
    <row r="209" spans="1:12" x14ac:dyDescent="0.2">
      <c r="A209" s="172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347</v>
      </c>
    </row>
    <row r="210" spans="1:12" x14ac:dyDescent="0.2">
      <c r="A210" s="172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348</v>
      </c>
    </row>
    <row r="211" spans="1:12" x14ac:dyDescent="0.2">
      <c r="A211" s="172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349</v>
      </c>
    </row>
    <row r="212" spans="1:12" x14ac:dyDescent="0.2">
      <c r="A212" s="172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350</v>
      </c>
    </row>
    <row r="213" spans="1:12" x14ac:dyDescent="0.2">
      <c r="A213" s="172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351</v>
      </c>
    </row>
    <row r="214" spans="1:12" x14ac:dyDescent="0.2">
      <c r="A214" s="172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352</v>
      </c>
    </row>
    <row r="215" spans="1:12" x14ac:dyDescent="0.2">
      <c r="A215" s="172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353</v>
      </c>
    </row>
    <row r="216" spans="1:12" x14ac:dyDescent="0.2">
      <c r="A216" s="172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354</v>
      </c>
    </row>
    <row r="217" spans="1:12" x14ac:dyDescent="0.2">
      <c r="A217" s="172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355</v>
      </c>
    </row>
    <row r="218" spans="1:12" x14ac:dyDescent="0.2">
      <c r="A218" s="172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356</v>
      </c>
    </row>
    <row r="219" spans="1:12" x14ac:dyDescent="0.2">
      <c r="A219" s="172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357</v>
      </c>
    </row>
    <row r="220" spans="1:12" x14ac:dyDescent="0.2">
      <c r="A220" s="172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358</v>
      </c>
    </row>
    <row r="221" spans="1:12" x14ac:dyDescent="0.2">
      <c r="A221" s="172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359</v>
      </c>
    </row>
    <row r="222" spans="1:12" x14ac:dyDescent="0.2">
      <c r="A222" s="172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360</v>
      </c>
    </row>
    <row r="223" spans="1:12" x14ac:dyDescent="0.2">
      <c r="A223" s="172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361</v>
      </c>
    </row>
    <row r="224" spans="1:12" x14ac:dyDescent="0.2">
      <c r="A224" s="172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362</v>
      </c>
    </row>
    <row r="225" spans="1:12" x14ac:dyDescent="0.2">
      <c r="A225" s="172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363</v>
      </c>
    </row>
    <row r="226" spans="1:12" x14ac:dyDescent="0.2">
      <c r="A226" s="172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364</v>
      </c>
    </row>
    <row r="227" spans="1:12" x14ac:dyDescent="0.2">
      <c r="A227" s="172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365</v>
      </c>
    </row>
    <row r="228" spans="1:12" x14ac:dyDescent="0.2">
      <c r="A228" s="172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366</v>
      </c>
    </row>
    <row r="229" spans="1:12" x14ac:dyDescent="0.2">
      <c r="A229" s="172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367</v>
      </c>
    </row>
    <row r="230" spans="1:12" x14ac:dyDescent="0.2">
      <c r="A230" s="172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368</v>
      </c>
    </row>
    <row r="231" spans="1:12" x14ac:dyDescent="0.2">
      <c r="A231" s="172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369</v>
      </c>
    </row>
    <row r="232" spans="1:12" x14ac:dyDescent="0.2">
      <c r="A232" s="172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370</v>
      </c>
    </row>
    <row r="233" spans="1:12" x14ac:dyDescent="0.2">
      <c r="A233" s="172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371</v>
      </c>
    </row>
    <row r="234" spans="1:12" x14ac:dyDescent="0.2">
      <c r="A234" s="172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372</v>
      </c>
    </row>
    <row r="235" spans="1:12" x14ac:dyDescent="0.2">
      <c r="A235" s="172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373</v>
      </c>
    </row>
    <row r="236" spans="1:12" x14ac:dyDescent="0.2">
      <c r="A236" s="172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374</v>
      </c>
    </row>
    <row r="237" spans="1:12" x14ac:dyDescent="0.2">
      <c r="A237" s="172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375</v>
      </c>
    </row>
    <row r="238" spans="1:12" x14ac:dyDescent="0.2">
      <c r="A238" s="172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376</v>
      </c>
    </row>
    <row r="239" spans="1:12" x14ac:dyDescent="0.2">
      <c r="A239" s="172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377</v>
      </c>
    </row>
    <row r="240" spans="1:12" x14ac:dyDescent="0.2">
      <c r="A240" s="172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378</v>
      </c>
    </row>
    <row r="241" spans="1:12" x14ac:dyDescent="0.2">
      <c r="A241" s="172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379</v>
      </c>
    </row>
    <row r="242" spans="1:12" x14ac:dyDescent="0.2">
      <c r="A242" s="172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380</v>
      </c>
    </row>
    <row r="243" spans="1:12" x14ac:dyDescent="0.2">
      <c r="A243" s="172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381</v>
      </c>
    </row>
    <row r="244" spans="1:12" x14ac:dyDescent="0.2">
      <c r="A244" s="172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382</v>
      </c>
    </row>
    <row r="245" spans="1:12" x14ac:dyDescent="0.2">
      <c r="A245" s="172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383</v>
      </c>
    </row>
    <row r="246" spans="1:12" x14ac:dyDescent="0.2">
      <c r="A246" s="172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384</v>
      </c>
    </row>
    <row r="247" spans="1:12" x14ac:dyDescent="0.2">
      <c r="A247" s="172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385</v>
      </c>
    </row>
    <row r="248" spans="1:12" x14ac:dyDescent="0.2">
      <c r="A248" s="172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386</v>
      </c>
    </row>
    <row r="249" spans="1:12" x14ac:dyDescent="0.2">
      <c r="A249" s="172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387</v>
      </c>
    </row>
    <row r="250" spans="1:12" x14ac:dyDescent="0.2">
      <c r="A250" s="172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388</v>
      </c>
    </row>
    <row r="251" spans="1:12" x14ac:dyDescent="0.2">
      <c r="A251" s="172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389</v>
      </c>
    </row>
    <row r="252" spans="1:12" x14ac:dyDescent="0.2">
      <c r="A252" s="172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390</v>
      </c>
    </row>
    <row r="253" spans="1:12" x14ac:dyDescent="0.2">
      <c r="A253" s="172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391</v>
      </c>
    </row>
    <row r="254" spans="1:12" x14ac:dyDescent="0.2">
      <c r="A254" s="172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392</v>
      </c>
    </row>
    <row r="255" spans="1:12" x14ac:dyDescent="0.2">
      <c r="A255" s="172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393</v>
      </c>
    </row>
    <row r="256" spans="1:12" x14ac:dyDescent="0.2">
      <c r="A256" s="172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394</v>
      </c>
    </row>
    <row r="257" spans="1:12" x14ac:dyDescent="0.2">
      <c r="A257" s="172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395</v>
      </c>
    </row>
    <row r="258" spans="1:12" x14ac:dyDescent="0.2">
      <c r="A258" s="172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396</v>
      </c>
    </row>
    <row r="259" spans="1:12" x14ac:dyDescent="0.2">
      <c r="A259" s="172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397</v>
      </c>
    </row>
    <row r="260" spans="1:12" x14ac:dyDescent="0.2">
      <c r="A260" s="172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398</v>
      </c>
    </row>
    <row r="261" spans="1:12" x14ac:dyDescent="0.2">
      <c r="A261" s="172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399</v>
      </c>
    </row>
    <row r="262" spans="1:12" x14ac:dyDescent="0.2">
      <c r="A262" s="172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400</v>
      </c>
    </row>
    <row r="263" spans="1:12" x14ac:dyDescent="0.2">
      <c r="A263" s="172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401</v>
      </c>
    </row>
    <row r="264" spans="1:12" x14ac:dyDescent="0.2">
      <c r="A264" s="172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402</v>
      </c>
    </row>
    <row r="265" spans="1:12" x14ac:dyDescent="0.2">
      <c r="A265" s="172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403</v>
      </c>
    </row>
    <row r="266" spans="1:12" x14ac:dyDescent="0.2">
      <c r="A266" s="172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404</v>
      </c>
    </row>
    <row r="267" spans="1:12" x14ac:dyDescent="0.2">
      <c r="A267" s="172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405</v>
      </c>
    </row>
    <row r="268" spans="1:12" x14ac:dyDescent="0.2">
      <c r="A268" s="172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406</v>
      </c>
    </row>
    <row r="269" spans="1:12" x14ac:dyDescent="0.2">
      <c r="A269" s="172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407</v>
      </c>
    </row>
    <row r="270" spans="1:12" x14ac:dyDescent="0.2">
      <c r="A270" s="172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408</v>
      </c>
    </row>
    <row r="271" spans="1:12" x14ac:dyDescent="0.2">
      <c r="A271" s="172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409</v>
      </c>
    </row>
    <row r="272" spans="1:12" x14ac:dyDescent="0.2">
      <c r="A272" s="172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410</v>
      </c>
    </row>
    <row r="273" spans="1:12" x14ac:dyDescent="0.2">
      <c r="A273" s="172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411</v>
      </c>
    </row>
    <row r="274" spans="1:12" x14ac:dyDescent="0.2">
      <c r="A274" s="172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412</v>
      </c>
    </row>
    <row r="275" spans="1:12" x14ac:dyDescent="0.2">
      <c r="A275" s="172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413</v>
      </c>
    </row>
    <row r="276" spans="1:12" x14ac:dyDescent="0.2">
      <c r="A276" s="172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414</v>
      </c>
    </row>
    <row r="277" spans="1:12" x14ac:dyDescent="0.2">
      <c r="A277" s="172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415</v>
      </c>
    </row>
    <row r="278" spans="1:12" x14ac:dyDescent="0.2">
      <c r="A278" s="172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416</v>
      </c>
    </row>
    <row r="279" spans="1:12" x14ac:dyDescent="0.2">
      <c r="A279" s="172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417</v>
      </c>
    </row>
    <row r="280" spans="1:12" x14ac:dyDescent="0.2">
      <c r="A280" s="172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418</v>
      </c>
    </row>
    <row r="281" spans="1:12" x14ac:dyDescent="0.2">
      <c r="A281" s="172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419</v>
      </c>
    </row>
    <row r="282" spans="1:12" x14ac:dyDescent="0.2">
      <c r="A282" s="172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420</v>
      </c>
    </row>
    <row r="283" spans="1:12" x14ac:dyDescent="0.2">
      <c r="A283" s="172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421</v>
      </c>
    </row>
    <row r="284" spans="1:12" x14ac:dyDescent="0.2">
      <c r="A284" s="172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422</v>
      </c>
    </row>
    <row r="285" spans="1:12" x14ac:dyDescent="0.2">
      <c r="A285" s="172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423</v>
      </c>
    </row>
    <row r="286" spans="1:12" x14ac:dyDescent="0.2">
      <c r="A286" s="172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424</v>
      </c>
    </row>
    <row r="287" spans="1:12" x14ac:dyDescent="0.2">
      <c r="A287" s="172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425</v>
      </c>
    </row>
    <row r="288" spans="1:12" x14ac:dyDescent="0.2">
      <c r="A288" s="172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426</v>
      </c>
    </row>
    <row r="289" spans="1:12" x14ac:dyDescent="0.2">
      <c r="A289" s="172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427</v>
      </c>
    </row>
    <row r="290" spans="1:12" x14ac:dyDescent="0.2">
      <c r="A290" s="172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428</v>
      </c>
    </row>
    <row r="291" spans="1:12" x14ac:dyDescent="0.2">
      <c r="A291" s="172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429</v>
      </c>
    </row>
    <row r="292" spans="1:12" x14ac:dyDescent="0.2">
      <c r="A292" s="172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430</v>
      </c>
    </row>
    <row r="293" spans="1:12" x14ac:dyDescent="0.2">
      <c r="A293" s="172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431</v>
      </c>
    </row>
    <row r="294" spans="1:12" x14ac:dyDescent="0.2">
      <c r="A294" s="172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432</v>
      </c>
    </row>
    <row r="295" spans="1:12" x14ac:dyDescent="0.2">
      <c r="A295" s="172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433</v>
      </c>
    </row>
    <row r="296" spans="1:12" x14ac:dyDescent="0.2">
      <c r="A296" s="172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434</v>
      </c>
    </row>
    <row r="297" spans="1:12" x14ac:dyDescent="0.2">
      <c r="A297" s="172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435</v>
      </c>
    </row>
    <row r="298" spans="1:12" x14ac:dyDescent="0.2">
      <c r="A298" s="172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436</v>
      </c>
    </row>
    <row r="299" spans="1:12" x14ac:dyDescent="0.2">
      <c r="A299" s="172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437</v>
      </c>
    </row>
    <row r="300" spans="1:12" x14ac:dyDescent="0.2">
      <c r="A300" s="172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438</v>
      </c>
    </row>
    <row r="301" spans="1:12" x14ac:dyDescent="0.2">
      <c r="A301" s="172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439</v>
      </c>
    </row>
    <row r="302" spans="1:12" x14ac:dyDescent="0.2">
      <c r="A302" s="172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440</v>
      </c>
    </row>
    <row r="303" spans="1:12" x14ac:dyDescent="0.2">
      <c r="A303" s="172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441</v>
      </c>
    </row>
    <row r="304" spans="1:12" x14ac:dyDescent="0.2">
      <c r="A304" s="172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442</v>
      </c>
    </row>
    <row r="305" spans="1:12" x14ac:dyDescent="0.2">
      <c r="A305" s="172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443</v>
      </c>
    </row>
    <row r="306" spans="1:12" x14ac:dyDescent="0.2">
      <c r="A306" s="172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444</v>
      </c>
    </row>
    <row r="307" spans="1:12" x14ac:dyDescent="0.2">
      <c r="A307" s="172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445</v>
      </c>
    </row>
    <row r="308" spans="1:12" x14ac:dyDescent="0.2">
      <c r="A308" s="172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446</v>
      </c>
    </row>
    <row r="309" spans="1:12" x14ac:dyDescent="0.2">
      <c r="A309" s="172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447</v>
      </c>
    </row>
    <row r="310" spans="1:12" x14ac:dyDescent="0.2">
      <c r="A310" s="172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448</v>
      </c>
    </row>
    <row r="311" spans="1:12" x14ac:dyDescent="0.2">
      <c r="A311" s="172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449</v>
      </c>
    </row>
    <row r="312" spans="1:12" x14ac:dyDescent="0.2">
      <c r="A312" s="172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450</v>
      </c>
    </row>
    <row r="313" spans="1:12" x14ac:dyDescent="0.2">
      <c r="A313" s="172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451</v>
      </c>
    </row>
    <row r="314" spans="1:12" x14ac:dyDescent="0.2">
      <c r="A314" s="172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452</v>
      </c>
    </row>
    <row r="315" spans="1:12" x14ac:dyDescent="0.2">
      <c r="A315" s="172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453</v>
      </c>
    </row>
    <row r="316" spans="1:12" x14ac:dyDescent="0.2">
      <c r="A316" s="172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454</v>
      </c>
    </row>
    <row r="317" spans="1:12" x14ac:dyDescent="0.2">
      <c r="A317" s="172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455</v>
      </c>
    </row>
    <row r="318" spans="1:12" x14ac:dyDescent="0.2">
      <c r="A318" s="172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456</v>
      </c>
    </row>
    <row r="319" spans="1:12" x14ac:dyDescent="0.2">
      <c r="A319" s="172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457</v>
      </c>
    </row>
    <row r="320" spans="1:12" x14ac:dyDescent="0.2">
      <c r="A320" s="172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458</v>
      </c>
    </row>
    <row r="321" spans="1:12" x14ac:dyDescent="0.2">
      <c r="A321" s="172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459</v>
      </c>
    </row>
    <row r="322" spans="1:12" x14ac:dyDescent="0.2">
      <c r="A322" s="172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460</v>
      </c>
    </row>
    <row r="323" spans="1:12" x14ac:dyDescent="0.2">
      <c r="A323" s="172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461</v>
      </c>
    </row>
    <row r="324" spans="1:12" x14ac:dyDescent="0.2">
      <c r="A324" s="172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462</v>
      </c>
    </row>
    <row r="325" spans="1:12" x14ac:dyDescent="0.2">
      <c r="A325" s="172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463</v>
      </c>
    </row>
    <row r="326" spans="1:12" x14ac:dyDescent="0.2">
      <c r="A326" s="172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464</v>
      </c>
    </row>
    <row r="327" spans="1:12" x14ac:dyDescent="0.2">
      <c r="A327" s="172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465</v>
      </c>
    </row>
    <row r="328" spans="1:12" x14ac:dyDescent="0.2">
      <c r="A328" s="172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461</v>
      </c>
    </row>
    <row r="329" spans="1:12" x14ac:dyDescent="0.2">
      <c r="A329" s="172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466</v>
      </c>
    </row>
    <row r="330" spans="1:12" x14ac:dyDescent="0.2">
      <c r="A330" s="172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467</v>
      </c>
    </row>
    <row r="331" spans="1:12" x14ac:dyDescent="0.2">
      <c r="A331" s="172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468</v>
      </c>
    </row>
    <row r="332" spans="1:12" x14ac:dyDescent="0.2">
      <c r="A332" s="172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469</v>
      </c>
    </row>
    <row r="333" spans="1:12" x14ac:dyDescent="0.2">
      <c r="A333" s="172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470</v>
      </c>
    </row>
    <row r="334" spans="1:12" x14ac:dyDescent="0.2">
      <c r="A334" s="172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471</v>
      </c>
    </row>
    <row r="335" spans="1:12" x14ac:dyDescent="0.2">
      <c r="A335" s="172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472</v>
      </c>
    </row>
    <row r="336" spans="1:12" x14ac:dyDescent="0.2">
      <c r="A336" s="172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473</v>
      </c>
    </row>
    <row r="337" spans="1:12" x14ac:dyDescent="0.2">
      <c r="A337" s="172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474</v>
      </c>
    </row>
    <row r="338" spans="1:12" x14ac:dyDescent="0.2">
      <c r="A338" s="172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475</v>
      </c>
    </row>
    <row r="339" spans="1:12" x14ac:dyDescent="0.2">
      <c r="A339" s="172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476</v>
      </c>
    </row>
    <row r="340" spans="1:12" x14ac:dyDescent="0.2">
      <c r="A340" s="172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477</v>
      </c>
    </row>
    <row r="341" spans="1:12" x14ac:dyDescent="0.2">
      <c r="A341" s="172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478</v>
      </c>
    </row>
    <row r="342" spans="1:12" x14ac:dyDescent="0.2">
      <c r="A342" s="172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479</v>
      </c>
    </row>
    <row r="343" spans="1:12" x14ac:dyDescent="0.2">
      <c r="A343" s="172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480</v>
      </c>
    </row>
    <row r="344" spans="1:12" x14ac:dyDescent="0.2">
      <c r="A344" s="172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481</v>
      </c>
    </row>
    <row r="345" spans="1:12" x14ac:dyDescent="0.2">
      <c r="A345" s="172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482</v>
      </c>
    </row>
    <row r="346" spans="1:12" x14ac:dyDescent="0.2">
      <c r="A346" s="172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483</v>
      </c>
    </row>
    <row r="347" spans="1:12" x14ac:dyDescent="0.2">
      <c r="A347" s="172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484</v>
      </c>
    </row>
    <row r="348" spans="1:12" x14ac:dyDescent="0.2">
      <c r="A348" s="172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485</v>
      </c>
    </row>
    <row r="349" spans="1:12" x14ac:dyDescent="0.2">
      <c r="A349" s="172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486</v>
      </c>
    </row>
    <row r="350" spans="1:12" x14ac:dyDescent="0.2">
      <c r="A350" s="172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487</v>
      </c>
    </row>
    <row r="351" spans="1:12" x14ac:dyDescent="0.2">
      <c r="A351" s="172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488</v>
      </c>
    </row>
    <row r="352" spans="1:12" x14ac:dyDescent="0.2">
      <c r="A352" s="172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489</v>
      </c>
    </row>
    <row r="353" spans="1:12" x14ac:dyDescent="0.2">
      <c r="A353" s="172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490</v>
      </c>
    </row>
    <row r="354" spans="1:12" x14ac:dyDescent="0.2">
      <c r="A354" s="172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491</v>
      </c>
    </row>
    <row r="355" spans="1:12" x14ac:dyDescent="0.2">
      <c r="A355" s="172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492</v>
      </c>
    </row>
    <row r="356" spans="1:12" x14ac:dyDescent="0.2">
      <c r="A356" s="172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493</v>
      </c>
    </row>
    <row r="357" spans="1:12" x14ac:dyDescent="0.2">
      <c r="A357" s="172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494</v>
      </c>
    </row>
    <row r="358" spans="1:12" x14ac:dyDescent="0.2">
      <c r="A358" s="172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495</v>
      </c>
    </row>
    <row r="359" spans="1:12" x14ac:dyDescent="0.2">
      <c r="A359" s="172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496</v>
      </c>
    </row>
    <row r="360" spans="1:12" x14ac:dyDescent="0.2">
      <c r="A360" s="172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497</v>
      </c>
    </row>
    <row r="361" spans="1:12" x14ac:dyDescent="0.2">
      <c r="A361" s="172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498</v>
      </c>
    </row>
    <row r="362" spans="1:12" x14ac:dyDescent="0.2">
      <c r="A362" s="172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499</v>
      </c>
    </row>
    <row r="363" spans="1:12" x14ac:dyDescent="0.2">
      <c r="A363" s="172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500</v>
      </c>
    </row>
    <row r="364" spans="1:12" x14ac:dyDescent="0.2">
      <c r="A364" s="172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501</v>
      </c>
    </row>
    <row r="365" spans="1:12" x14ac:dyDescent="0.2">
      <c r="A365" s="172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502</v>
      </c>
    </row>
    <row r="366" spans="1:12" x14ac:dyDescent="0.2">
      <c r="A366" s="172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503</v>
      </c>
    </row>
    <row r="367" spans="1:12" x14ac:dyDescent="0.2">
      <c r="A367" s="172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504</v>
      </c>
    </row>
    <row r="368" spans="1:12" x14ac:dyDescent="0.2">
      <c r="A368" s="172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505</v>
      </c>
    </row>
    <row r="369" spans="1:12" x14ac:dyDescent="0.2">
      <c r="A369" s="172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507</v>
      </c>
    </row>
    <row r="370" spans="1:12" x14ac:dyDescent="0.2">
      <c r="A370" s="172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507</v>
      </c>
    </row>
    <row r="371" spans="1:12" x14ac:dyDescent="0.2">
      <c r="A371" s="172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508</v>
      </c>
    </row>
    <row r="372" spans="1:12" x14ac:dyDescent="0.2">
      <c r="A372" s="172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509</v>
      </c>
    </row>
    <row r="373" spans="1:12" x14ac:dyDescent="0.2">
      <c r="A373" s="172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510</v>
      </c>
    </row>
    <row r="374" spans="1:12" x14ac:dyDescent="0.2">
      <c r="A374" s="172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511</v>
      </c>
    </row>
    <row r="375" spans="1:12" x14ac:dyDescent="0.2">
      <c r="A375" s="172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512</v>
      </c>
    </row>
    <row r="376" spans="1:12" x14ac:dyDescent="0.2">
      <c r="A376" s="172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513</v>
      </c>
    </row>
    <row r="377" spans="1:12" x14ac:dyDescent="0.2">
      <c r="A377" s="172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514</v>
      </c>
    </row>
    <row r="378" spans="1:12" x14ac:dyDescent="0.2">
      <c r="A378" s="172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515</v>
      </c>
    </row>
    <row r="379" spans="1:12" x14ac:dyDescent="0.2">
      <c r="A379" s="172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516</v>
      </c>
    </row>
    <row r="380" spans="1:12" x14ac:dyDescent="0.2">
      <c r="A380" s="172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517</v>
      </c>
    </row>
    <row r="381" spans="1:12" x14ac:dyDescent="0.2">
      <c r="A381" s="172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518</v>
      </c>
    </row>
    <row r="382" spans="1:12" x14ac:dyDescent="0.2">
      <c r="A382" s="172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519</v>
      </c>
    </row>
    <row r="383" spans="1:12" x14ac:dyDescent="0.2">
      <c r="A383" s="172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520</v>
      </c>
    </row>
    <row r="384" spans="1:12" x14ac:dyDescent="0.2">
      <c r="A384" s="172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521</v>
      </c>
    </row>
    <row r="385" spans="1:12" x14ac:dyDescent="0.2">
      <c r="A385" s="172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522</v>
      </c>
    </row>
    <row r="386" spans="1:12" x14ac:dyDescent="0.2">
      <c r="A386" s="172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521</v>
      </c>
    </row>
    <row r="387" spans="1:12" x14ac:dyDescent="0.2">
      <c r="A387" s="172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523</v>
      </c>
    </row>
    <row r="388" spans="1:12" x14ac:dyDescent="0.2">
      <c r="A388" s="172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524</v>
      </c>
    </row>
    <row r="389" spans="1:12" x14ac:dyDescent="0.2">
      <c r="A389" s="172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525</v>
      </c>
    </row>
    <row r="390" spans="1:12" x14ac:dyDescent="0.2">
      <c r="A390" s="172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526</v>
      </c>
    </row>
    <row r="391" spans="1:12" x14ac:dyDescent="0.2">
      <c r="A391" s="172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527</v>
      </c>
    </row>
    <row r="392" spans="1:12" x14ac:dyDescent="0.2">
      <c r="A392" s="172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528</v>
      </c>
    </row>
    <row r="393" spans="1:12" x14ac:dyDescent="0.2">
      <c r="A393" s="172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529</v>
      </c>
    </row>
    <row r="394" spans="1:12" x14ac:dyDescent="0.2">
      <c r="A394" s="172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530</v>
      </c>
    </row>
    <row r="395" spans="1:12" x14ac:dyDescent="0.2">
      <c r="A395" s="172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531</v>
      </c>
    </row>
    <row r="396" spans="1:12" x14ac:dyDescent="0.2">
      <c r="A396" s="172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532</v>
      </c>
    </row>
    <row r="397" spans="1:12" x14ac:dyDescent="0.2">
      <c r="A397" s="172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533</v>
      </c>
    </row>
    <row r="398" spans="1:12" x14ac:dyDescent="0.2">
      <c r="A398" s="172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534</v>
      </c>
    </row>
    <row r="399" spans="1:12" x14ac:dyDescent="0.2">
      <c r="A399" s="172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535</v>
      </c>
    </row>
    <row r="400" spans="1:12" x14ac:dyDescent="0.2">
      <c r="A400" s="172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536</v>
      </c>
    </row>
    <row r="401" spans="1:12" x14ac:dyDescent="0.2">
      <c r="A401" s="172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528</v>
      </c>
    </row>
    <row r="402" spans="1:12" x14ac:dyDescent="0.2">
      <c r="A402" s="172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507</v>
      </c>
    </row>
    <row r="403" spans="1:12" x14ac:dyDescent="0.2">
      <c r="A403" s="172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537</v>
      </c>
    </row>
    <row r="404" spans="1:12" x14ac:dyDescent="0.2">
      <c r="A404" s="172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538</v>
      </c>
    </row>
    <row r="405" spans="1:12" x14ac:dyDescent="0.2">
      <c r="A405" s="172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539</v>
      </c>
    </row>
    <row r="406" spans="1:12" x14ac:dyDescent="0.2">
      <c r="A406" s="172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540</v>
      </c>
    </row>
    <row r="407" spans="1:12" x14ac:dyDescent="0.2">
      <c r="A407" s="172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541</v>
      </c>
    </row>
    <row r="408" spans="1:12" x14ac:dyDescent="0.2">
      <c r="A408" s="172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542</v>
      </c>
    </row>
    <row r="409" spans="1:12" x14ac:dyDescent="0.2">
      <c r="A409" s="172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543</v>
      </c>
    </row>
    <row r="410" spans="1:12" x14ac:dyDescent="0.2">
      <c r="A410" s="172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544</v>
      </c>
    </row>
    <row r="411" spans="1:12" x14ac:dyDescent="0.2">
      <c r="A411" s="172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545</v>
      </c>
    </row>
    <row r="412" spans="1:12" x14ac:dyDescent="0.2">
      <c r="A412" s="172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546</v>
      </c>
    </row>
    <row r="413" spans="1:12" x14ac:dyDescent="0.2">
      <c r="A413" s="172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547</v>
      </c>
    </row>
    <row r="414" spans="1:12" x14ac:dyDescent="0.2">
      <c r="A414" s="172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548</v>
      </c>
    </row>
    <row r="415" spans="1:12" x14ac:dyDescent="0.2">
      <c r="A415" s="172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549</v>
      </c>
    </row>
    <row r="416" spans="1:12" x14ac:dyDescent="0.2">
      <c r="A416" s="172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550</v>
      </c>
    </row>
    <row r="417" spans="1:12" x14ac:dyDescent="0.2">
      <c r="A417" s="172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551</v>
      </c>
    </row>
    <row r="418" spans="1:12" x14ac:dyDescent="0.2">
      <c r="A418" s="172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552</v>
      </c>
    </row>
    <row r="419" spans="1:12" x14ac:dyDescent="0.2">
      <c r="A419" s="172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553</v>
      </c>
    </row>
    <row r="420" spans="1:12" x14ac:dyDescent="0.2">
      <c r="A420" s="172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554</v>
      </c>
    </row>
    <row r="421" spans="1:12" x14ac:dyDescent="0.2">
      <c r="A421" s="172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551</v>
      </c>
    </row>
    <row r="422" spans="1:12" x14ac:dyDescent="0.2">
      <c r="A422" s="172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555</v>
      </c>
    </row>
    <row r="423" spans="1:12" x14ac:dyDescent="0.2">
      <c r="A423" s="172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556</v>
      </c>
    </row>
    <row r="424" spans="1:12" x14ac:dyDescent="0.2">
      <c r="A424" s="172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557</v>
      </c>
    </row>
    <row r="425" spans="1:12" x14ac:dyDescent="0.2">
      <c r="A425" s="172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558</v>
      </c>
    </row>
    <row r="426" spans="1:12" x14ac:dyDescent="0.2">
      <c r="A426" s="172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554</v>
      </c>
    </row>
    <row r="427" spans="1:12" x14ac:dyDescent="0.2">
      <c r="A427" s="172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549</v>
      </c>
    </row>
    <row r="428" spans="1:12" x14ac:dyDescent="0.2">
      <c r="A428" s="172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559</v>
      </c>
    </row>
    <row r="429" spans="1:12" x14ac:dyDescent="0.2">
      <c r="A429" s="172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560</v>
      </c>
    </row>
    <row r="430" spans="1:12" x14ac:dyDescent="0.2">
      <c r="A430" s="172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561</v>
      </c>
    </row>
    <row r="431" spans="1:12" x14ac:dyDescent="0.2">
      <c r="A431" s="172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560</v>
      </c>
    </row>
    <row r="432" spans="1:12" x14ac:dyDescent="0.2">
      <c r="A432" s="172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562</v>
      </c>
    </row>
    <row r="433" spans="1:12" x14ac:dyDescent="0.2">
      <c r="A433" s="172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547</v>
      </c>
    </row>
    <row r="434" spans="1:12" x14ac:dyDescent="0.2">
      <c r="A434" s="172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550</v>
      </c>
    </row>
    <row r="435" spans="1:12" x14ac:dyDescent="0.2">
      <c r="A435" s="172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563</v>
      </c>
    </row>
    <row r="436" spans="1:12" x14ac:dyDescent="0.2">
      <c r="A436" s="172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543</v>
      </c>
    </row>
    <row r="437" spans="1:12" x14ac:dyDescent="0.2">
      <c r="A437" s="172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564</v>
      </c>
    </row>
    <row r="438" spans="1:12" x14ac:dyDescent="0.2">
      <c r="A438" s="172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565</v>
      </c>
    </row>
    <row r="439" spans="1:12" x14ac:dyDescent="0.2">
      <c r="A439" s="172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566</v>
      </c>
    </row>
    <row r="440" spans="1:12" x14ac:dyDescent="0.2">
      <c r="A440" s="172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567</v>
      </c>
    </row>
    <row r="441" spans="1:12" x14ac:dyDescent="0.2">
      <c r="A441" s="172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554</v>
      </c>
    </row>
    <row r="442" spans="1:12" x14ac:dyDescent="0.2">
      <c r="A442" s="172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568</v>
      </c>
    </row>
    <row r="443" spans="1:12" x14ac:dyDescent="0.2">
      <c r="A443" s="172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569</v>
      </c>
    </row>
    <row r="444" spans="1:12" x14ac:dyDescent="0.2">
      <c r="A444" s="172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563</v>
      </c>
    </row>
    <row r="445" spans="1:12" x14ac:dyDescent="0.2">
      <c r="A445" s="172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553</v>
      </c>
    </row>
    <row r="446" spans="1:12" x14ac:dyDescent="0.2">
      <c r="A446" s="172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570</v>
      </c>
    </row>
    <row r="447" spans="1:12" x14ac:dyDescent="0.2">
      <c r="A447" s="172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571</v>
      </c>
    </row>
    <row r="448" spans="1:12" x14ac:dyDescent="0.2">
      <c r="A448" s="172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572</v>
      </c>
    </row>
    <row r="449" spans="1:12" x14ac:dyDescent="0.2">
      <c r="A449" s="172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573</v>
      </c>
    </row>
    <row r="450" spans="1:12" x14ac:dyDescent="0.2">
      <c r="A450" s="172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574</v>
      </c>
    </row>
    <row r="451" spans="1:12" x14ac:dyDescent="0.2">
      <c r="A451" s="172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575</v>
      </c>
    </row>
    <row r="452" spans="1:12" x14ac:dyDescent="0.2">
      <c r="A452" s="172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576</v>
      </c>
    </row>
    <row r="453" spans="1:12" x14ac:dyDescent="0.2">
      <c r="A453" s="172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577</v>
      </c>
    </row>
    <row r="454" spans="1:12" x14ac:dyDescent="0.2">
      <c r="A454" s="172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578</v>
      </c>
    </row>
    <row r="455" spans="1:12" x14ac:dyDescent="0.2">
      <c r="A455" s="172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579</v>
      </c>
    </row>
    <row r="456" spans="1:12" x14ac:dyDescent="0.2">
      <c r="A456" s="172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580</v>
      </c>
    </row>
    <row r="457" spans="1:12" x14ac:dyDescent="0.2">
      <c r="A457" s="172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581</v>
      </c>
    </row>
    <row r="458" spans="1:12" x14ac:dyDescent="0.2">
      <c r="A458" s="172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582</v>
      </c>
    </row>
    <row r="459" spans="1:12" x14ac:dyDescent="0.2">
      <c r="A459" s="172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583</v>
      </c>
    </row>
    <row r="460" spans="1:12" x14ac:dyDescent="0.2">
      <c r="A460" s="172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584</v>
      </c>
    </row>
    <row r="461" spans="1:12" x14ac:dyDescent="0.2">
      <c r="A461" s="172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585</v>
      </c>
    </row>
    <row r="462" spans="1:12" x14ac:dyDescent="0.2">
      <c r="A462" s="172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586</v>
      </c>
    </row>
    <row r="463" spans="1:12" x14ac:dyDescent="0.2">
      <c r="A463" s="172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583</v>
      </c>
    </row>
    <row r="464" spans="1:12" x14ac:dyDescent="0.2">
      <c r="A464" s="172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587</v>
      </c>
    </row>
    <row r="465" spans="1:12" x14ac:dyDescent="0.2">
      <c r="A465" s="172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588</v>
      </c>
    </row>
    <row r="466" spans="1:12" x14ac:dyDescent="0.2">
      <c r="A466" s="172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589</v>
      </c>
    </row>
    <row r="467" spans="1:12" x14ac:dyDescent="0.2">
      <c r="A467" s="172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590</v>
      </c>
    </row>
    <row r="468" spans="1:12" x14ac:dyDescent="0.2">
      <c r="A468" s="172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591</v>
      </c>
    </row>
    <row r="469" spans="1:12" x14ac:dyDescent="0.2">
      <c r="A469" s="172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592</v>
      </c>
    </row>
    <row r="470" spans="1:12" x14ac:dyDescent="0.2">
      <c r="A470" s="172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593</v>
      </c>
    </row>
    <row r="471" spans="1:12" x14ac:dyDescent="0.2">
      <c r="A471" s="172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594</v>
      </c>
    </row>
    <row r="472" spans="1:12" x14ac:dyDescent="0.2">
      <c r="A472" s="172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595</v>
      </c>
    </row>
    <row r="473" spans="1:12" x14ac:dyDescent="0.2">
      <c r="A473" s="172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596</v>
      </c>
    </row>
    <row r="474" spans="1:12" x14ac:dyDescent="0.2">
      <c r="A474" s="172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597</v>
      </c>
    </row>
    <row r="475" spans="1:12" x14ac:dyDescent="0.2">
      <c r="A475" s="172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598</v>
      </c>
    </row>
    <row r="476" spans="1:12" x14ac:dyDescent="0.2">
      <c r="A476" s="172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599</v>
      </c>
    </row>
    <row r="477" spans="1:12" x14ac:dyDescent="0.2">
      <c r="A477" s="172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600</v>
      </c>
    </row>
    <row r="478" spans="1:12" x14ac:dyDescent="0.2">
      <c r="A478" s="172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601</v>
      </c>
    </row>
    <row r="479" spans="1:12" x14ac:dyDescent="0.2">
      <c r="A479" s="172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602</v>
      </c>
    </row>
    <row r="480" spans="1:12" x14ac:dyDescent="0.2">
      <c r="A480" s="172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603</v>
      </c>
    </row>
    <row r="481" spans="1:12" x14ac:dyDescent="0.2">
      <c r="A481" s="172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604</v>
      </c>
    </row>
    <row r="482" spans="1:12" x14ac:dyDescent="0.2">
      <c r="A482" s="172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605</v>
      </c>
    </row>
    <row r="483" spans="1:12" x14ac:dyDescent="0.2">
      <c r="A483" s="172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606</v>
      </c>
    </row>
    <row r="484" spans="1:12" x14ac:dyDescent="0.2">
      <c r="A484" s="172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607</v>
      </c>
    </row>
    <row r="485" spans="1:12" x14ac:dyDescent="0.2">
      <c r="A485" s="172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608</v>
      </c>
    </row>
    <row r="486" spans="1:12" x14ac:dyDescent="0.2">
      <c r="A486" s="172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609</v>
      </c>
    </row>
    <row r="487" spans="1:12" x14ac:dyDescent="0.2">
      <c r="A487" s="172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610</v>
      </c>
    </row>
    <row r="488" spans="1:12" x14ac:dyDescent="0.2">
      <c r="A488" s="172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611</v>
      </c>
    </row>
    <row r="489" spans="1:12" x14ac:dyDescent="0.2">
      <c r="A489" s="172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3430</v>
      </c>
      <c r="J489" s="23">
        <v>390</v>
      </c>
      <c r="K489" s="23">
        <v>0</v>
      </c>
      <c r="L489" s="32" t="s">
        <v>615</v>
      </c>
    </row>
    <row r="490" spans="1:12" x14ac:dyDescent="0.2">
      <c r="A490" s="172">
        <v>45871</v>
      </c>
      <c r="B490" s="23">
        <v>1302</v>
      </c>
      <c r="C490" s="23">
        <v>3716</v>
      </c>
      <c r="D490" s="23">
        <v>5018</v>
      </c>
      <c r="E490" s="23">
        <v>4629</v>
      </c>
      <c r="F490" s="23">
        <v>300</v>
      </c>
      <c r="G490" s="23">
        <v>689</v>
      </c>
      <c r="H490" s="23">
        <v>0</v>
      </c>
      <c r="I490" s="23">
        <v>3338</v>
      </c>
      <c r="J490" s="23">
        <v>379</v>
      </c>
      <c r="K490" s="23">
        <v>0</v>
      </c>
      <c r="L490" s="32" t="s">
        <v>616</v>
      </c>
    </row>
    <row r="491" spans="1:12" x14ac:dyDescent="0.2">
      <c r="A491" s="172">
        <v>45872</v>
      </c>
      <c r="B491" s="23">
        <v>1302</v>
      </c>
      <c r="C491" s="23">
        <v>3829</v>
      </c>
      <c r="D491" s="23">
        <v>5131</v>
      </c>
      <c r="E491" s="23">
        <v>4629</v>
      </c>
      <c r="F491" s="23">
        <v>300</v>
      </c>
      <c r="G491" s="23">
        <v>802</v>
      </c>
      <c r="H491" s="23">
        <v>0</v>
      </c>
      <c r="I491" s="23">
        <v>3432</v>
      </c>
      <c r="J491" s="23">
        <v>396</v>
      </c>
      <c r="K491" s="23">
        <v>0</v>
      </c>
      <c r="L491" s="32" t="s">
        <v>617</v>
      </c>
    </row>
    <row r="492" spans="1:12" x14ac:dyDescent="0.2">
      <c r="A492" s="172">
        <v>45873</v>
      </c>
      <c r="B492" s="23">
        <v>1302</v>
      </c>
      <c r="C492" s="23">
        <v>4026</v>
      </c>
      <c r="D492" s="23">
        <v>5328</v>
      </c>
      <c r="E492" s="23">
        <v>4629</v>
      </c>
      <c r="F492" s="23">
        <v>300</v>
      </c>
      <c r="G492" s="23">
        <v>999</v>
      </c>
      <c r="H492" s="23">
        <v>0</v>
      </c>
      <c r="I492" s="23">
        <v>3615</v>
      </c>
      <c r="J492" s="23">
        <v>412</v>
      </c>
      <c r="K492" s="23">
        <v>0</v>
      </c>
      <c r="L492" s="32" t="s">
        <v>618</v>
      </c>
    </row>
    <row r="493" spans="1:12" x14ac:dyDescent="0.2">
      <c r="A493" s="172">
        <v>45874</v>
      </c>
      <c r="B493" s="23">
        <v>1302</v>
      </c>
      <c r="C493" s="23">
        <v>3902</v>
      </c>
      <c r="D493" s="23">
        <v>5204</v>
      </c>
      <c r="E493" s="23">
        <v>4629</v>
      </c>
      <c r="F493" s="23">
        <v>300</v>
      </c>
      <c r="G493" s="23">
        <v>875</v>
      </c>
      <c r="H493" s="23">
        <v>0</v>
      </c>
      <c r="I493" s="23">
        <v>3508</v>
      </c>
      <c r="J493" s="23">
        <v>396</v>
      </c>
      <c r="K493" s="23">
        <v>0</v>
      </c>
      <c r="L493" s="32" t="s">
        <v>619</v>
      </c>
    </row>
    <row r="494" spans="1:12" x14ac:dyDescent="0.2">
      <c r="A494" s="172">
        <v>45875</v>
      </c>
      <c r="B494" s="23">
        <v>1302</v>
      </c>
      <c r="C494" s="23">
        <v>3982</v>
      </c>
      <c r="D494" s="23">
        <v>5284</v>
      </c>
      <c r="E494" s="23">
        <v>4629</v>
      </c>
      <c r="F494" s="23">
        <v>300</v>
      </c>
      <c r="G494" s="23">
        <v>955</v>
      </c>
      <c r="H494" s="23">
        <v>0</v>
      </c>
      <c r="I494" s="23">
        <v>3580</v>
      </c>
      <c r="J494" s="23">
        <v>404</v>
      </c>
      <c r="K494" s="23">
        <v>0</v>
      </c>
      <c r="L494" s="32" t="s">
        <v>620</v>
      </c>
    </row>
    <row r="495" spans="1:12" x14ac:dyDescent="0.2">
      <c r="A495" s="172">
        <v>45876</v>
      </c>
      <c r="B495" s="23">
        <v>1302</v>
      </c>
      <c r="C495" s="23">
        <v>4204</v>
      </c>
      <c r="D495" s="23">
        <v>5506</v>
      </c>
      <c r="E495" s="23">
        <v>4629</v>
      </c>
      <c r="F495" s="23">
        <v>300</v>
      </c>
      <c r="G495" s="23">
        <v>1177</v>
      </c>
      <c r="H495" s="23">
        <v>0</v>
      </c>
      <c r="I495" s="23">
        <v>3772</v>
      </c>
      <c r="J495" s="23">
        <v>431</v>
      </c>
      <c r="K495" s="23">
        <v>0</v>
      </c>
      <c r="L495" s="32" t="s">
        <v>621</v>
      </c>
    </row>
    <row r="496" spans="1:12" x14ac:dyDescent="0.2">
      <c r="A496" s="172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3839</v>
      </c>
      <c r="J496" s="23">
        <v>442</v>
      </c>
      <c r="K496" s="23">
        <v>0</v>
      </c>
      <c r="L496" s="32" t="s">
        <v>622</v>
      </c>
    </row>
    <row r="497" spans="1:12" x14ac:dyDescent="0.2">
      <c r="A497" s="172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4002</v>
      </c>
      <c r="J497" s="23">
        <v>457</v>
      </c>
      <c r="K497" s="23">
        <v>0</v>
      </c>
      <c r="L497" s="32" t="s">
        <v>623</v>
      </c>
    </row>
    <row r="498" spans="1:12" x14ac:dyDescent="0.2">
      <c r="A498" s="172">
        <v>45879</v>
      </c>
      <c r="B498" s="23">
        <v>1302</v>
      </c>
      <c r="C498" s="23">
        <v>4466</v>
      </c>
      <c r="D498" s="23">
        <v>5768</v>
      </c>
      <c r="E498" s="23">
        <v>4629</v>
      </c>
      <c r="F498" s="23">
        <v>300</v>
      </c>
      <c r="G498" s="23">
        <v>1439</v>
      </c>
      <c r="H498" s="23">
        <v>0</v>
      </c>
      <c r="I498" s="23">
        <v>4011</v>
      </c>
      <c r="J498" s="23">
        <v>454</v>
      </c>
      <c r="K498" s="23">
        <v>0</v>
      </c>
      <c r="L498" s="32" t="s">
        <v>624</v>
      </c>
    </row>
    <row r="499" spans="1:12" x14ac:dyDescent="0.2">
      <c r="A499" s="172">
        <v>45880</v>
      </c>
      <c r="B499" s="23">
        <v>1302</v>
      </c>
      <c r="C499" s="23">
        <v>4379</v>
      </c>
      <c r="D499" s="23">
        <v>5681</v>
      </c>
      <c r="E499" s="23">
        <v>4629</v>
      </c>
      <c r="F499" s="23">
        <v>300</v>
      </c>
      <c r="G499" s="23">
        <v>1352</v>
      </c>
      <c r="H499" s="23">
        <v>0</v>
      </c>
      <c r="I499" s="23">
        <v>3946</v>
      </c>
      <c r="J499" s="23">
        <v>433</v>
      </c>
      <c r="K499" s="23">
        <v>0</v>
      </c>
      <c r="L499" s="32" t="s">
        <v>625</v>
      </c>
    </row>
    <row r="500" spans="1:12" x14ac:dyDescent="0.2">
      <c r="A500" s="172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4268</v>
      </c>
      <c r="J500" s="23">
        <v>465</v>
      </c>
      <c r="K500" s="23">
        <v>0</v>
      </c>
      <c r="L500" s="32" t="s">
        <v>626</v>
      </c>
    </row>
    <row r="501" spans="1:12" x14ac:dyDescent="0.2">
      <c r="A501" s="172">
        <v>45882</v>
      </c>
      <c r="B501" s="23">
        <v>1302</v>
      </c>
      <c r="C501" s="23">
        <v>4920</v>
      </c>
      <c r="D501" s="23">
        <v>6222</v>
      </c>
      <c r="E501" s="23">
        <v>4629</v>
      </c>
      <c r="F501" s="23">
        <v>300</v>
      </c>
      <c r="G501" s="23">
        <v>1893</v>
      </c>
      <c r="H501" s="23">
        <v>0</v>
      </c>
      <c r="I501" s="23">
        <v>4436</v>
      </c>
      <c r="J501" s="23">
        <v>485</v>
      </c>
      <c r="K501" s="23">
        <v>0</v>
      </c>
      <c r="L501" s="32" t="s">
        <v>627</v>
      </c>
    </row>
    <row r="502" spans="1:12" x14ac:dyDescent="0.2">
      <c r="A502" s="172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4283</v>
      </c>
      <c r="J502" s="23">
        <v>443</v>
      </c>
      <c r="K502" s="23">
        <v>0</v>
      </c>
      <c r="L502" s="32" t="s">
        <v>628</v>
      </c>
    </row>
    <row r="503" spans="1:12" x14ac:dyDescent="0.2">
      <c r="A503" s="172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4195</v>
      </c>
      <c r="J503" s="23">
        <v>435</v>
      </c>
      <c r="K503" s="23">
        <v>0</v>
      </c>
      <c r="L503" s="32" t="s">
        <v>629</v>
      </c>
    </row>
    <row r="504" spans="1:12" x14ac:dyDescent="0.2">
      <c r="A504" s="172">
        <v>45885</v>
      </c>
      <c r="B504" s="23">
        <v>1302</v>
      </c>
      <c r="C504" s="23">
        <v>4644</v>
      </c>
      <c r="D504" s="23">
        <v>5946</v>
      </c>
      <c r="E504" s="23">
        <v>4629</v>
      </c>
      <c r="F504" s="23">
        <v>300</v>
      </c>
      <c r="G504" s="23">
        <v>1617</v>
      </c>
      <c r="H504" s="23">
        <v>0</v>
      </c>
      <c r="I504" s="23">
        <v>4201</v>
      </c>
      <c r="J504" s="23">
        <v>444</v>
      </c>
      <c r="K504" s="23">
        <v>0</v>
      </c>
      <c r="L504" s="32" t="s">
        <v>630</v>
      </c>
    </row>
    <row r="505" spans="1:12" x14ac:dyDescent="0.2">
      <c r="A505" s="172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4258</v>
      </c>
      <c r="J505" s="23">
        <v>455</v>
      </c>
      <c r="K505" s="23">
        <v>0</v>
      </c>
      <c r="L505" s="32" t="s">
        <v>631</v>
      </c>
    </row>
    <row r="506" spans="1:12" x14ac:dyDescent="0.2">
      <c r="A506" s="172">
        <v>45887</v>
      </c>
      <c r="B506" s="23">
        <v>1102</v>
      </c>
      <c r="C506" s="23">
        <v>4750</v>
      </c>
      <c r="D506" s="23">
        <v>5852</v>
      </c>
      <c r="E506" s="23">
        <v>4629</v>
      </c>
      <c r="F506" s="23">
        <v>300</v>
      </c>
      <c r="G506" s="23">
        <v>1523</v>
      </c>
      <c r="H506" s="23">
        <v>0</v>
      </c>
      <c r="I506" s="23">
        <v>4315</v>
      </c>
      <c r="J506" s="23">
        <v>434</v>
      </c>
      <c r="K506" s="23">
        <v>0</v>
      </c>
      <c r="L506" s="32" t="s">
        <v>632</v>
      </c>
    </row>
    <row r="507" spans="1:12" x14ac:dyDescent="0.2">
      <c r="A507" s="172">
        <v>45888</v>
      </c>
      <c r="B507" s="23">
        <v>1102</v>
      </c>
      <c r="C507" s="23">
        <v>4504</v>
      </c>
      <c r="D507" s="23">
        <v>5606</v>
      </c>
      <c r="E507" s="23">
        <v>4629</v>
      </c>
      <c r="F507" s="23">
        <v>300</v>
      </c>
      <c r="G507" s="23">
        <v>1277</v>
      </c>
      <c r="H507" s="23">
        <v>0</v>
      </c>
      <c r="I507" s="23">
        <v>4094</v>
      </c>
      <c r="J507" s="23">
        <v>409</v>
      </c>
      <c r="K507" s="23">
        <v>0</v>
      </c>
      <c r="L507" s="32" t="s">
        <v>633</v>
      </c>
    </row>
    <row r="508" spans="1:12" x14ac:dyDescent="0.2">
      <c r="A508" s="172">
        <v>45889</v>
      </c>
      <c r="B508" s="23">
        <v>1102</v>
      </c>
      <c r="C508" s="23">
        <v>4780</v>
      </c>
      <c r="D508" s="23">
        <v>5882</v>
      </c>
      <c r="E508" s="23">
        <v>4629</v>
      </c>
      <c r="F508" s="23">
        <v>300</v>
      </c>
      <c r="G508" s="23">
        <v>1553</v>
      </c>
      <c r="H508" s="23">
        <v>0</v>
      </c>
      <c r="I508" s="23">
        <v>4342</v>
      </c>
      <c r="J508" s="23">
        <v>437</v>
      </c>
      <c r="K508" s="23">
        <v>0</v>
      </c>
      <c r="L508" s="32" t="s">
        <v>634</v>
      </c>
    </row>
    <row r="509" spans="1:12" x14ac:dyDescent="0.2">
      <c r="A509" s="172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4212</v>
      </c>
      <c r="J509" s="23">
        <v>422</v>
      </c>
      <c r="K509" s="23">
        <v>0</v>
      </c>
      <c r="L509" s="32" t="s">
        <v>635</v>
      </c>
    </row>
    <row r="510" spans="1:12" x14ac:dyDescent="0.2">
      <c r="A510" s="172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4739</v>
      </c>
      <c r="J510" s="23">
        <v>462</v>
      </c>
      <c r="K510" s="23">
        <v>0</v>
      </c>
      <c r="L510" s="32" t="s">
        <v>636</v>
      </c>
    </row>
    <row r="511" spans="1:12" x14ac:dyDescent="0.2">
      <c r="A511" s="172">
        <v>45892</v>
      </c>
      <c r="B511" s="23">
        <v>1102</v>
      </c>
      <c r="C511" s="23">
        <v>5158</v>
      </c>
      <c r="D511" s="23">
        <v>6260</v>
      </c>
      <c r="E511" s="23">
        <v>4629</v>
      </c>
      <c r="F511" s="23">
        <v>300</v>
      </c>
      <c r="G511" s="23">
        <v>1931</v>
      </c>
      <c r="H511" s="23">
        <v>0</v>
      </c>
      <c r="I511" s="23">
        <v>4701</v>
      </c>
      <c r="J511" s="23">
        <v>458</v>
      </c>
      <c r="K511" s="23">
        <v>0</v>
      </c>
      <c r="L511" s="32" t="s">
        <v>637</v>
      </c>
    </row>
    <row r="512" spans="1:12" x14ac:dyDescent="0.2">
      <c r="A512" s="172">
        <v>45893</v>
      </c>
      <c r="B512" s="23">
        <v>1102</v>
      </c>
      <c r="C512" s="23">
        <v>5152</v>
      </c>
      <c r="D512" s="23">
        <v>6254</v>
      </c>
      <c r="E512" s="23">
        <v>4629</v>
      </c>
      <c r="F512" s="23">
        <v>300</v>
      </c>
      <c r="G512" s="23">
        <v>1925</v>
      </c>
      <c r="H512" s="23">
        <v>0</v>
      </c>
      <c r="I512" s="23">
        <v>4704</v>
      </c>
      <c r="J512" s="23">
        <v>450</v>
      </c>
      <c r="K512" s="23">
        <v>0</v>
      </c>
      <c r="L512" s="32" t="s">
        <v>638</v>
      </c>
    </row>
    <row r="513" spans="1:12" x14ac:dyDescent="0.2">
      <c r="A513" s="172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4323</v>
      </c>
      <c r="J513" s="23">
        <v>407</v>
      </c>
      <c r="K513" s="23">
        <v>0</v>
      </c>
      <c r="L513" s="32" t="s">
        <v>639</v>
      </c>
    </row>
    <row r="514" spans="1:12" x14ac:dyDescent="0.2">
      <c r="A514" s="172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4523</v>
      </c>
      <c r="J514" s="23">
        <v>428</v>
      </c>
      <c r="K514" s="23">
        <v>0</v>
      </c>
      <c r="L514" s="32" t="s">
        <v>640</v>
      </c>
    </row>
    <row r="515" spans="1:12" x14ac:dyDescent="0.2">
      <c r="A515" s="172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4483</v>
      </c>
      <c r="J515" s="23">
        <v>421</v>
      </c>
      <c r="K515" s="23">
        <v>0</v>
      </c>
      <c r="L515" s="32" t="s">
        <v>641</v>
      </c>
    </row>
    <row r="516" spans="1:12" x14ac:dyDescent="0.2">
      <c r="A516" s="172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4548</v>
      </c>
      <c r="J516" s="23">
        <v>434</v>
      </c>
      <c r="K516" s="23">
        <v>0</v>
      </c>
      <c r="L516" s="32" t="s">
        <v>642</v>
      </c>
    </row>
    <row r="517" spans="1:12" x14ac:dyDescent="0.2">
      <c r="A517" s="172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4392</v>
      </c>
      <c r="J517" s="23">
        <v>411</v>
      </c>
      <c r="K517" s="23">
        <v>0</v>
      </c>
      <c r="L517" s="32" t="s">
        <v>643</v>
      </c>
    </row>
    <row r="518" spans="1:12" x14ac:dyDescent="0.2">
      <c r="A518" s="172">
        <v>45899</v>
      </c>
      <c r="B518" s="23">
        <v>1102</v>
      </c>
      <c r="C518" s="23">
        <v>4802</v>
      </c>
      <c r="D518" s="23">
        <v>5904</v>
      </c>
      <c r="E518" s="23">
        <v>4629</v>
      </c>
      <c r="F518" s="23">
        <v>300</v>
      </c>
      <c r="G518" s="23">
        <v>1575</v>
      </c>
      <c r="H518" s="23">
        <v>0</v>
      </c>
      <c r="I518" s="23">
        <v>4391</v>
      </c>
      <c r="J518" s="23">
        <v>411</v>
      </c>
      <c r="K518" s="23">
        <v>0</v>
      </c>
      <c r="L518" s="32" t="s">
        <v>644</v>
      </c>
    </row>
    <row r="519" spans="1:12" x14ac:dyDescent="0.2">
      <c r="A519" s="172">
        <v>45900</v>
      </c>
      <c r="B519" s="23">
        <v>1102</v>
      </c>
      <c r="C519" s="23">
        <v>4789</v>
      </c>
      <c r="D519" s="23">
        <v>5891</v>
      </c>
      <c r="E519" s="23">
        <v>4629</v>
      </c>
      <c r="F519" s="23">
        <v>300</v>
      </c>
      <c r="G519" s="23">
        <v>1562</v>
      </c>
      <c r="H519" s="23">
        <v>0</v>
      </c>
      <c r="I519" s="23">
        <v>4386</v>
      </c>
      <c r="J519" s="23">
        <v>404</v>
      </c>
      <c r="K519" s="23">
        <v>0</v>
      </c>
      <c r="L519" s="32" t="s">
        <v>645</v>
      </c>
    </row>
    <row r="520" spans="1:12" x14ac:dyDescent="0.2">
      <c r="A520" s="172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4313</v>
      </c>
      <c r="J520" s="23">
        <v>393</v>
      </c>
      <c r="K520" s="23">
        <v>0</v>
      </c>
      <c r="L520" s="32" t="s">
        <v>646</v>
      </c>
    </row>
    <row r="521" spans="1:12" x14ac:dyDescent="0.2">
      <c r="A521" s="172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4389</v>
      </c>
      <c r="J521" s="23">
        <v>410</v>
      </c>
      <c r="K521" s="23">
        <v>0</v>
      </c>
      <c r="L521" s="32" t="s">
        <v>647</v>
      </c>
    </row>
    <row r="522" spans="1:12" x14ac:dyDescent="0.2">
      <c r="A522" s="172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4473</v>
      </c>
      <c r="J522" s="23">
        <v>411</v>
      </c>
      <c r="K522" s="23">
        <v>0</v>
      </c>
      <c r="L522" s="32" t="s">
        <v>648</v>
      </c>
    </row>
    <row r="523" spans="1:12" x14ac:dyDescent="0.2">
      <c r="A523" s="172">
        <v>45904</v>
      </c>
      <c r="B523" s="23">
        <v>1102</v>
      </c>
      <c r="C523" s="23">
        <v>4723</v>
      </c>
      <c r="D523" s="23">
        <v>5825</v>
      </c>
      <c r="E523" s="23">
        <v>4629</v>
      </c>
      <c r="F523" s="23">
        <v>300</v>
      </c>
      <c r="G523" s="23">
        <v>1496</v>
      </c>
      <c r="H523" s="23">
        <v>0</v>
      </c>
      <c r="I523" s="23">
        <v>4327</v>
      </c>
      <c r="J523" s="23">
        <v>396</v>
      </c>
      <c r="K523" s="23">
        <v>0</v>
      </c>
      <c r="L523" s="32" t="s">
        <v>649</v>
      </c>
    </row>
    <row r="524" spans="1:12" x14ac:dyDescent="0.2">
      <c r="A524" s="172">
        <v>45905</v>
      </c>
      <c r="B524" s="23">
        <v>1102</v>
      </c>
      <c r="C524" s="23">
        <v>4757</v>
      </c>
      <c r="D524" s="23">
        <v>5859</v>
      </c>
      <c r="E524" s="23">
        <v>4629</v>
      </c>
      <c r="F524" s="23">
        <v>300</v>
      </c>
      <c r="G524" s="23">
        <v>1530</v>
      </c>
      <c r="H524" s="23">
        <v>0</v>
      </c>
      <c r="I524" s="23">
        <v>4352</v>
      </c>
      <c r="J524" s="23">
        <v>407</v>
      </c>
      <c r="K524" s="23">
        <v>0</v>
      </c>
      <c r="L524" s="32" t="s">
        <v>650</v>
      </c>
    </row>
    <row r="525" spans="1:12" x14ac:dyDescent="0.2">
      <c r="A525" s="172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4319</v>
      </c>
      <c r="J525" s="23">
        <v>407</v>
      </c>
      <c r="K525" s="23">
        <v>0</v>
      </c>
      <c r="L525" s="32" t="s">
        <v>651</v>
      </c>
    </row>
    <row r="526" spans="1:12" x14ac:dyDescent="0.2">
      <c r="A526" s="172">
        <v>45907</v>
      </c>
      <c r="B526" s="23">
        <v>1102</v>
      </c>
      <c r="C526" s="23">
        <v>4800</v>
      </c>
      <c r="D526" s="23">
        <v>5902</v>
      </c>
      <c r="E526" s="23">
        <v>4629</v>
      </c>
      <c r="F526" s="23">
        <v>300</v>
      </c>
      <c r="G526" s="23">
        <v>1573</v>
      </c>
      <c r="H526" s="23">
        <v>0</v>
      </c>
      <c r="I526" s="23">
        <v>4382</v>
      </c>
      <c r="J526" s="23">
        <v>417</v>
      </c>
      <c r="K526" s="23">
        <v>0</v>
      </c>
      <c r="L526" s="32" t="s">
        <v>652</v>
      </c>
    </row>
    <row r="527" spans="1:12" x14ac:dyDescent="0.2">
      <c r="A527" s="172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4429</v>
      </c>
      <c r="J527" s="23">
        <v>478</v>
      </c>
      <c r="K527" s="23">
        <v>0</v>
      </c>
      <c r="L527" s="32" t="s">
        <v>653</v>
      </c>
    </row>
    <row r="528" spans="1:12" x14ac:dyDescent="0.2">
      <c r="A528" s="172">
        <v>45909</v>
      </c>
      <c r="B528" s="23">
        <v>902</v>
      </c>
      <c r="C528" s="23">
        <v>5188</v>
      </c>
      <c r="D528" s="23">
        <v>6090</v>
      </c>
      <c r="E528" s="23">
        <v>4629</v>
      </c>
      <c r="F528" s="23">
        <v>300</v>
      </c>
      <c r="G528" s="23">
        <v>1761</v>
      </c>
      <c r="H528" s="23">
        <v>0</v>
      </c>
      <c r="I528" s="23">
        <v>4443</v>
      </c>
      <c r="J528" s="23">
        <v>513</v>
      </c>
      <c r="K528" s="23">
        <v>230</v>
      </c>
      <c r="L528" s="32" t="s">
        <v>654</v>
      </c>
    </row>
    <row r="529" spans="1:12" x14ac:dyDescent="0.2">
      <c r="A529" s="172">
        <v>45910</v>
      </c>
      <c r="B529" s="23">
        <v>902</v>
      </c>
      <c r="C529" s="23">
        <v>5279</v>
      </c>
      <c r="D529" s="23">
        <v>6181</v>
      </c>
      <c r="E529" s="23">
        <v>4629</v>
      </c>
      <c r="F529" s="23">
        <v>300</v>
      </c>
      <c r="G529" s="23">
        <v>1852</v>
      </c>
      <c r="H529" s="23">
        <v>0</v>
      </c>
      <c r="I529" s="23">
        <v>4515</v>
      </c>
      <c r="J529" s="23">
        <v>764</v>
      </c>
      <c r="K529" s="23">
        <v>0</v>
      </c>
      <c r="L529" s="32" t="s">
        <v>674</v>
      </c>
    </row>
    <row r="530" spans="1:12" x14ac:dyDescent="0.2">
      <c r="A530" s="172">
        <v>45911</v>
      </c>
      <c r="B530" s="23">
        <v>902</v>
      </c>
      <c r="C530" s="23">
        <v>5364</v>
      </c>
      <c r="D530" s="23">
        <v>6266</v>
      </c>
      <c r="E530" s="23">
        <v>4629</v>
      </c>
      <c r="F530" s="23">
        <v>300</v>
      </c>
      <c r="G530" s="23">
        <v>1937</v>
      </c>
      <c r="H530" s="23">
        <v>0</v>
      </c>
      <c r="I530" s="23">
        <v>4609</v>
      </c>
      <c r="J530" s="23">
        <v>754</v>
      </c>
      <c r="K530" s="23">
        <v>0</v>
      </c>
      <c r="L530" s="32" t="s">
        <v>675</v>
      </c>
    </row>
    <row r="531" spans="1:12" x14ac:dyDescent="0.2">
      <c r="A531" s="172">
        <v>45912</v>
      </c>
      <c r="B531" s="23">
        <v>902</v>
      </c>
      <c r="C531" s="23">
        <v>5585</v>
      </c>
      <c r="D531" s="23">
        <v>6487</v>
      </c>
      <c r="E531" s="23">
        <v>4629</v>
      </c>
      <c r="F531" s="23">
        <v>300</v>
      </c>
      <c r="G531" s="23">
        <v>2158</v>
      </c>
      <c r="H531" s="23">
        <v>0</v>
      </c>
      <c r="I531" s="23">
        <v>4824</v>
      </c>
      <c r="J531" s="23">
        <v>762</v>
      </c>
      <c r="K531" s="23">
        <v>0</v>
      </c>
      <c r="L531" s="32" t="s">
        <v>673</v>
      </c>
    </row>
    <row r="532" spans="1:12" x14ac:dyDescent="0.2">
      <c r="A532" s="172">
        <v>45913</v>
      </c>
      <c r="B532" s="23">
        <v>902</v>
      </c>
      <c r="C532" s="23">
        <v>5622</v>
      </c>
      <c r="D532" s="23">
        <v>6524</v>
      </c>
      <c r="E532" s="23">
        <v>4629</v>
      </c>
      <c r="F532" s="23">
        <v>300</v>
      </c>
      <c r="G532" s="23">
        <v>2195</v>
      </c>
      <c r="H532" s="23">
        <v>0</v>
      </c>
      <c r="I532" s="23">
        <v>4861</v>
      </c>
      <c r="J532" s="23">
        <v>763</v>
      </c>
      <c r="K532" s="23">
        <v>0</v>
      </c>
      <c r="L532" s="32" t="s">
        <v>676</v>
      </c>
    </row>
  </sheetData>
  <sortState xmlns:xlrd2="http://schemas.microsoft.com/office/spreadsheetml/2017/richdata2" ref="A2:L532">
    <sortCondition ref="A2:A53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6"/>
  <sheetViews>
    <sheetView zoomScale="190" zoomScaleNormal="190" workbookViewId="0">
      <selection activeCell="E20" sqref="E20"/>
    </sheetView>
  </sheetViews>
  <sheetFormatPr defaultRowHeight="12.75" x14ac:dyDescent="0.2"/>
  <cols>
    <col min="1" max="16384" width="9.140625" style="95"/>
  </cols>
  <sheetData>
    <row r="1" spans="1:4" x14ac:dyDescent="0.2">
      <c r="A1" s="96" t="s">
        <v>49</v>
      </c>
      <c r="B1" s="96" t="s">
        <v>147</v>
      </c>
      <c r="C1" s="96" t="s">
        <v>146</v>
      </c>
      <c r="D1" s="96" t="s">
        <v>145</v>
      </c>
    </row>
    <row r="2" spans="1:4" x14ac:dyDescent="0.2">
      <c r="A2" s="95" t="s">
        <v>49</v>
      </c>
      <c r="B2" s="95" t="s">
        <v>34</v>
      </c>
      <c r="C2" s="95" t="s">
        <v>41</v>
      </c>
      <c r="D2" s="95" t="s">
        <v>144</v>
      </c>
    </row>
    <row r="3" spans="1:4" x14ac:dyDescent="0.2">
      <c r="B3" s="95" t="s">
        <v>149</v>
      </c>
      <c r="C3" s="95" t="s">
        <v>46</v>
      </c>
      <c r="D3" s="95" t="s">
        <v>148</v>
      </c>
    </row>
    <row r="4" spans="1:4" x14ac:dyDescent="0.2">
      <c r="B4" s="95" t="s">
        <v>37</v>
      </c>
      <c r="C4" s="95" t="s">
        <v>42</v>
      </c>
      <c r="D4" s="95" t="s">
        <v>44</v>
      </c>
    </row>
    <row r="5" spans="1:4" x14ac:dyDescent="0.2">
      <c r="B5" s="95" t="s">
        <v>80</v>
      </c>
      <c r="C5" s="95" t="s">
        <v>153</v>
      </c>
      <c r="D5" s="95" t="s">
        <v>613</v>
      </c>
    </row>
    <row r="6" spans="1:4" x14ac:dyDescent="0.2">
      <c r="B6" s="95" t="s">
        <v>143</v>
      </c>
      <c r="C6" s="20" t="s">
        <v>85</v>
      </c>
    </row>
    <row r="7" spans="1:4" x14ac:dyDescent="0.2">
      <c r="B7" s="95" t="s">
        <v>35</v>
      </c>
      <c r="C7" s="20" t="s">
        <v>83</v>
      </c>
    </row>
    <row r="8" spans="1:4" x14ac:dyDescent="0.2">
      <c r="B8" s="95" t="s">
        <v>101</v>
      </c>
      <c r="C8" s="20" t="s">
        <v>82</v>
      </c>
    </row>
    <row r="9" spans="1:4" x14ac:dyDescent="0.2">
      <c r="C9" s="20" t="s">
        <v>79</v>
      </c>
    </row>
    <row r="10" spans="1:4" x14ac:dyDescent="0.2">
      <c r="C10" s="20" t="s">
        <v>111</v>
      </c>
    </row>
    <row r="11" spans="1:4" x14ac:dyDescent="0.2">
      <c r="C11" s="20" t="s">
        <v>90</v>
      </c>
    </row>
    <row r="12" spans="1:4" x14ac:dyDescent="0.2">
      <c r="C12" s="20" t="s">
        <v>88</v>
      </c>
    </row>
    <row r="13" spans="1:4" x14ac:dyDescent="0.2">
      <c r="C13" s="20" t="s">
        <v>89</v>
      </c>
    </row>
    <row r="14" spans="1:4" x14ac:dyDescent="0.2">
      <c r="C14" s="20" t="s">
        <v>87</v>
      </c>
    </row>
    <row r="15" spans="1:4" x14ac:dyDescent="0.2">
      <c r="C15" s="95" t="s">
        <v>154</v>
      </c>
    </row>
    <row r="16" spans="1:4" x14ac:dyDescent="0.2">
      <c r="C16" s="95" t="s">
        <v>155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48"/>
  <sheetViews>
    <sheetView zoomScale="160" zoomScaleNormal="160" workbookViewId="0">
      <selection activeCell="B3" sqref="B3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9" t="s">
        <v>665</v>
      </c>
    </row>
    <row r="2" spans="1:13" x14ac:dyDescent="0.2">
      <c r="A2" s="36"/>
    </row>
    <row r="3" spans="1:13" x14ac:dyDescent="0.2">
      <c r="A3" s="36" t="s">
        <v>666</v>
      </c>
      <c r="B3">
        <f>B7+D7+F7</f>
        <v>902</v>
      </c>
      <c r="L3" s="56" t="s">
        <v>56</v>
      </c>
      <c r="M3" s="35" t="s">
        <v>668</v>
      </c>
    </row>
    <row r="4" spans="1:13" x14ac:dyDescent="0.2">
      <c r="A4" s="56" t="s">
        <v>667</v>
      </c>
      <c r="B4">
        <f>B8+D8+F8</f>
        <v>5599</v>
      </c>
      <c r="L4" s="56" t="s">
        <v>74</v>
      </c>
      <c r="M4" s="35" t="s">
        <v>668</v>
      </c>
    </row>
    <row r="5" spans="1:13" x14ac:dyDescent="0.2">
      <c r="A5" s="56"/>
      <c r="L5" s="56" t="s">
        <v>93</v>
      </c>
      <c r="M5" s="35" t="s">
        <v>669</v>
      </c>
    </row>
    <row r="6" spans="1:13" x14ac:dyDescent="0.2">
      <c r="A6" s="153" t="s">
        <v>56</v>
      </c>
      <c r="B6" s="153"/>
      <c r="C6" s="153" t="s">
        <v>74</v>
      </c>
      <c r="D6" s="153"/>
      <c r="E6" s="153" t="s">
        <v>93</v>
      </c>
      <c r="F6" s="153"/>
      <c r="G6" s="153" t="s">
        <v>664</v>
      </c>
      <c r="H6" s="153"/>
    </row>
    <row r="7" spans="1:13" x14ac:dyDescent="0.2">
      <c r="A7" s="66" t="s">
        <v>38</v>
      </c>
      <c r="B7" s="66">
        <v>902</v>
      </c>
      <c r="C7" s="66" t="s">
        <v>38</v>
      </c>
      <c r="D7" s="66">
        <v>0</v>
      </c>
      <c r="E7" s="66" t="s">
        <v>38</v>
      </c>
      <c r="F7" s="66">
        <v>0</v>
      </c>
    </row>
    <row r="8" spans="1:13" x14ac:dyDescent="0.2">
      <c r="A8" s="66" t="s">
        <v>113</v>
      </c>
      <c r="B8" s="66">
        <f>SUM(B9:B40)</f>
        <v>3973</v>
      </c>
      <c r="C8" s="66" t="s">
        <v>113</v>
      </c>
      <c r="D8" s="66">
        <f>SUM(D9:D40)</f>
        <v>1376</v>
      </c>
      <c r="E8" s="66" t="s">
        <v>113</v>
      </c>
      <c r="F8" s="66">
        <f>SUM(F9:F40)</f>
        <v>250</v>
      </c>
    </row>
    <row r="9" spans="1:13" x14ac:dyDescent="0.2">
      <c r="A9" s="67" t="s">
        <v>34</v>
      </c>
      <c r="B9" s="48">
        <v>2842</v>
      </c>
      <c r="C9" s="67" t="s">
        <v>35</v>
      </c>
      <c r="D9" s="48">
        <v>980</v>
      </c>
      <c r="E9" s="67" t="s">
        <v>154</v>
      </c>
      <c r="F9" s="48">
        <v>141</v>
      </c>
    </row>
    <row r="10" spans="1:13" x14ac:dyDescent="0.2">
      <c r="A10" s="67" t="s">
        <v>80</v>
      </c>
      <c r="B10" s="48">
        <v>544</v>
      </c>
      <c r="C10" s="67" t="s">
        <v>79</v>
      </c>
      <c r="D10" s="48">
        <v>155</v>
      </c>
      <c r="E10" s="67" t="s">
        <v>155</v>
      </c>
      <c r="F10">
        <v>109</v>
      </c>
    </row>
    <row r="11" spans="1:13" x14ac:dyDescent="0.2">
      <c r="A11" s="67" t="s">
        <v>37</v>
      </c>
      <c r="B11" s="48">
        <v>379</v>
      </c>
      <c r="C11" s="67" t="s">
        <v>111</v>
      </c>
      <c r="D11" s="48">
        <v>83</v>
      </c>
      <c r="E11" s="67"/>
      <c r="F11" s="48"/>
    </row>
    <row r="12" spans="1:13" x14ac:dyDescent="0.2">
      <c r="A12" s="67" t="s">
        <v>101</v>
      </c>
      <c r="B12" s="48">
        <v>93</v>
      </c>
      <c r="C12" s="67" t="s">
        <v>90</v>
      </c>
      <c r="D12" s="48">
        <v>62</v>
      </c>
    </row>
    <row r="13" spans="1:13" x14ac:dyDescent="0.2">
      <c r="A13" s="67" t="s">
        <v>85</v>
      </c>
      <c r="B13" s="48">
        <v>52</v>
      </c>
      <c r="C13" s="67" t="s">
        <v>88</v>
      </c>
      <c r="D13" s="48">
        <v>38</v>
      </c>
      <c r="J13" s="58"/>
    </row>
    <row r="14" spans="1:13" x14ac:dyDescent="0.2">
      <c r="A14" s="67" t="s">
        <v>83</v>
      </c>
      <c r="B14" s="48">
        <v>36</v>
      </c>
      <c r="C14" s="67" t="s">
        <v>89</v>
      </c>
      <c r="D14" s="48">
        <v>34</v>
      </c>
      <c r="J14" s="58"/>
    </row>
    <row r="15" spans="1:13" x14ac:dyDescent="0.2">
      <c r="A15" s="67" t="s">
        <v>82</v>
      </c>
      <c r="B15" s="48">
        <v>27</v>
      </c>
      <c r="C15" s="67" t="s">
        <v>87</v>
      </c>
      <c r="D15" s="48">
        <v>24</v>
      </c>
      <c r="J15" s="58"/>
    </row>
    <row r="16" spans="1:13" x14ac:dyDescent="0.2">
      <c r="J16" s="58"/>
    </row>
    <row r="17" spans="9:12" x14ac:dyDescent="0.2">
      <c r="J17" s="58"/>
    </row>
    <row r="18" spans="9:12" x14ac:dyDescent="0.2">
      <c r="J18" s="58"/>
    </row>
    <row r="20" spans="9:12" x14ac:dyDescent="0.2">
      <c r="J20" t="s">
        <v>56</v>
      </c>
      <c r="K20" t="s">
        <v>74</v>
      </c>
      <c r="L20" t="s">
        <v>75</v>
      </c>
    </row>
    <row r="21" spans="9:12" x14ac:dyDescent="0.2">
      <c r="I21" s="14" t="s">
        <v>49</v>
      </c>
      <c r="J21">
        <v>1.1480000000000001E-2</v>
      </c>
      <c r="K21">
        <v>1.221419E-2</v>
      </c>
    </row>
    <row r="22" spans="9:12" x14ac:dyDescent="0.2">
      <c r="I22" s="48" t="s">
        <v>34</v>
      </c>
      <c r="J22">
        <v>0.16279299999999999</v>
      </c>
      <c r="K22">
        <v>0.19206216000000001</v>
      </c>
    </row>
    <row r="23" spans="9:12" x14ac:dyDescent="0.2">
      <c r="I23" s="48" t="s">
        <v>35</v>
      </c>
      <c r="J23">
        <v>0.14549999999999999</v>
      </c>
    </row>
    <row r="24" spans="9:12" x14ac:dyDescent="0.2">
      <c r="I24" s="48" t="s">
        <v>36</v>
      </c>
      <c r="J24">
        <v>4.1468800000000003</v>
      </c>
    </row>
    <row r="25" spans="9:12" x14ac:dyDescent="0.2">
      <c r="I25" s="48" t="s">
        <v>37</v>
      </c>
      <c r="J25">
        <v>141.71</v>
      </c>
    </row>
    <row r="26" spans="9:12" x14ac:dyDescent="0.2">
      <c r="I26" s="48" t="s">
        <v>41</v>
      </c>
      <c r="L26">
        <v>69.8</v>
      </c>
    </row>
    <row r="27" spans="9:12" x14ac:dyDescent="0.2">
      <c r="I27" s="48" t="s">
        <v>42</v>
      </c>
      <c r="J27">
        <v>10</v>
      </c>
    </row>
    <row r="28" spans="9:12" x14ac:dyDescent="0.2">
      <c r="I28" s="14" t="s">
        <v>43</v>
      </c>
      <c r="J28">
        <v>0.6</v>
      </c>
    </row>
    <row r="29" spans="9:12" x14ac:dyDescent="0.2">
      <c r="I29" s="14" t="s">
        <v>44</v>
      </c>
      <c r="J29">
        <v>200</v>
      </c>
    </row>
    <row r="30" spans="9:12" x14ac:dyDescent="0.2">
      <c r="I30" s="14" t="s">
        <v>46</v>
      </c>
      <c r="L30">
        <v>9.8000000000000007</v>
      </c>
    </row>
    <row r="47" spans="4:6" x14ac:dyDescent="0.2">
      <c r="D47" t="s">
        <v>93</v>
      </c>
      <c r="E47" t="s">
        <v>94</v>
      </c>
      <c r="F47" t="s">
        <v>95</v>
      </c>
    </row>
    <row r="48" spans="4:6" x14ac:dyDescent="0.2">
      <c r="D48" t="s">
        <v>93</v>
      </c>
      <c r="E48" t="s">
        <v>96</v>
      </c>
      <c r="F48" t="s">
        <v>97</v>
      </c>
    </row>
  </sheetData>
  <mergeCells count="4">
    <mergeCell ref="A6:B6"/>
    <mergeCell ref="G6:H6"/>
    <mergeCell ref="C6:D6"/>
    <mergeCell ref="E6:F6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2025-09-13T09:33:42Z</dcterms:modified>
</cp:coreProperties>
</file>