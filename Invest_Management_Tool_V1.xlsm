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C019DAAF-4B6C-4B68-B7FE-B85B99ECFF75}" xr6:coauthVersionLast="47" xr6:coauthVersionMax="47" xr10:uidLastSave="{00000000-0000-0000-0000-000000000000}"/>
  <bookViews>
    <workbookView xWindow="-105" yWindow="0" windowWidth="19410" windowHeight="20985" tabRatio="787" firstSheet="2" activeTab="6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1" i="18" l="1"/>
  <c r="F60" i="18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<sst xmlns="http://schemas.openxmlformats.org/spreadsheetml/2006/main" count="1207" uniqueCount="738">
  <si>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</si>
  <si>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</si>
  <si>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</si>
  <si>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</si>
  <si>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</si>
  <si>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</si>
  <si>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</si>
  <si>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</si>
  <si>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</si>
  <si>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</si>
  <si>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</si>
  <si>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</si>
  <si>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</si>
  <si>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</si>
  <si>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</si>
  <si>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</si>
  <si>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</si>
  <si>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</si>
  <si>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</si>
  <si>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</si>
  <si>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</si>
  <si>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</si>
  <si>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</si>
  <si>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</si>
  <si>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</si>
  <si>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</si>
  <si>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</si>
  <si>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</si>
  <si>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</si>
  <si>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</si>
  <si>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</si>
  <si>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</si>
  <si>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</si>
  <si>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</si>
  <si>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</si>
  <si>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</si>
  <si>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</si>
  <si>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</si>
  <si>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</si>
  <si>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</si>
  <si>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</si>
  <si>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</si>
  <si>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</si>
  <si>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</si>
  <si>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</si>
  <si>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</si>
  <si>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</si>
  <si>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</si>
  <si>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</si>
  <si>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</si>
  <si>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</si>
  <si>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</si>
  <si>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</si>
  <si>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</si>
  <si>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</si>
  <si>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</si>
  <si>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</si>
  <si>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</si>
  <si>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</si>
  <si>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</si>
  <si>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</si>
  <si>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</si>
  <si>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</si>
  <si>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</si>
  <si>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</si>
  <si>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</si>
  <si>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</si>
  <si>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</si>
  <si>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</si>
  <si>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</si>
  <si>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</si>
  <si>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</si>
  <si>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</si>
  <si>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</si>
  <si>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</si>
  <si>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</si>
  <si>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</si>
  <si>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</si>
  <si>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</si>
  <si>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</si>
  <si>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</si>
  <si>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</si>
  <si>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</si>
  <si>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</si>
  <si>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</si>
  <si>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</si>
  <si>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</si>
  <si>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</si>
  <si>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</si>
  <si>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</si>
  <si>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</si>
  <si>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</si>
  <si>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</si>
  <si>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</si>
  <si>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</si>
  <si>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</si>
  <si>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</si>
  <si>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</si>
  <si>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</si>
  <si>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</si>
  <si>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</si>
  <si>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</si>
  <si>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</si>
  <si>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</si>
  <si>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</si>
  <si>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</si>
  <si>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</si>
  <si>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</si>
  <si>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</si>
  <si>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</si>
  <si>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</si>
  <si>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</si>
  <si>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</si>
  <si>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</si>
  <si>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</si>
  <si>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</si>
  <si>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</si>
  <si>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</si>
  <si>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</si>
  <si>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</si>
  <si>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</si>
  <si>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</si>
  <si>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</si>
  <si>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</si>
  <si>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</si>
  <si>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</si>
  <si>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</si>
  <si>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</si>
  <si>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</si>
  <si>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</si>
  <si>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</si>
  <si>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</si>
  <si>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</si>
  <si>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</si>
  <si>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</si>
  <si>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</si>
  <si>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</si>
  <si>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</si>
  <si>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</si>
  <si>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</si>
  <si>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</si>
  <si>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</si>
  <si>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</si>
  <si>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</si>
  <si>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</si>
  <si>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</si>
  <si>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</si>
  <si>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</si>
  <si>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</si>
  <si>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</si>
  <si>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</si>
  <si>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</si>
  <si>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</si>
  <si>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</si>
  <si>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</si>
  <si>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</si>
  <si>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</si>
  <si>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</si>
  <si>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</si>
  <si>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</si>
  <si>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</si>
  <si>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</si>
  <si>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</si>
  <si>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</si>
  <si>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</si>
  <si>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</si>
  <si>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</si>
  <si>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</si>
  <si>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</si>
  <si>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</si>
  <si>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</si>
  <si>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</si>
  <si>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</si>
  <si>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</si>
  <si>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</si>
  <si>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</si>
  <si>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</si>
  <si>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</si>
  <si>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</si>
  <si>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</si>
  <si>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</si>
  <si>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</si>
  <si>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</si>
  <si>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</si>
  <si>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</si>
  <si>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</si>
  <si>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</si>
  <si>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</si>
  <si>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</si>
  <si>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</si>
  <si>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</si>
  <si>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</si>
  <si>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</si>
  <si>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</si>
  <si>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</si>
  <si>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</si>
  <si>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</si>
  <si>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</si>
  <si>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</si>
  <si>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</si>
  <si>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</si>
  <si>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</si>
  <si>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</si>
  <si>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</si>
  <si>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</si>
  <si>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</si>
  <si>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</si>
  <si>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</si>
  <si>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</si>
  <si>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</si>
  <si>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</si>
  <si>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</si>
  <si>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</si>
  <si>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</si>
  <si>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</si>
  <si>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</si>
  <si>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</si>
  <si>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</si>
  <si>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</si>
  <si>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</si>
  <si>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</si>
  <si>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</si>
  <si>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</si>
  <si>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</si>
  <si>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</si>
  <si>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</si>
  <si>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</si>
  <si>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</si>
  <si>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</si>
  <si>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</si>
  <si>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</si>
  <si>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</si>
  <si>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</si>
  <si>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</si>
  <si>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</si>
  <si>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</si>
  <si>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</si>
  <si>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</si>
  <si>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</si>
  <si>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</si>
  <si>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</si>
  <si>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</si>
  <si>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</si>
  <si>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</si>
  <si>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</si>
  <si>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</si>
  <si>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</si>
  <si>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</si>
  <si>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</si>
  <si>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</si>
  <si>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</si>
  <si>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</si>
  <si>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</si>
  <si>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</si>
  <si>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</si>
  <si>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</si>
  <si>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</si>
  <si>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</si>
  <si>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</si>
  <si>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</si>
  <si>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</si>
  <si>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</si>
  <si>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</si>
  <si>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</si>
  <si>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</si>
  <si>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</si>
  <si>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</si>
  <si>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</si>
  <si>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</si>
  <si>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</si>
  <si>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</si>
  <si>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</si>
  <si>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</si>
  <si>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</si>
  <si>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</si>
  <si>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</si>
  <si>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</si>
  <si>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</si>
  <si>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</si>
  <si>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</si>
  <si>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</si>
  <si>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</si>
  <si>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</si>
  <si>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</si>
  <si>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</si>
  <si>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</si>
  <si>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</si>
  <si>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</si>
  <si>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</si>
  <si>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</si>
  <si>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</si>
  <si>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</si>
  <si>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</si>
  <si>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</si>
  <si>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</si>
  <si>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</si>
  <si>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</si>
  <si>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</si>
  <si>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</si>
  <si>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</si>
  <si>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</si>
  <si>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</si>
  <si>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</si>
  <si>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</si>
  <si>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</si>
  <si>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</si>
  <si>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</si>
  <si>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</si>
  <si>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</si>
  <si>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</si>
  <si>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</si>
  <si>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</si>
  <si>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</si>
  <si>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</si>
  <si>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</si>
  <si>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</si>
  <si>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</si>
  <si>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</si>
  <si>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</si>
  <si>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</si>
  <si>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</si>
  <si>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</si>
  <si>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</si>
  <si>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</si>
  <si>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</si>
  <si>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</si>
  <si>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</si>
  <si>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</si>
  <si>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</si>
  <si>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</si>
  <si>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</si>
  <si>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</si>
  <si>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</si>
  <si>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</si>
  <si>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</si>
  <si>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</si>
  <si>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</si>
  <si>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</si>
  <si>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</si>
  <si>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</si>
  <si>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</si>
  <si>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</si>
  <si>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</si>
  <si>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</si>
  <si>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</si>
  <si>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</si>
  <si>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</si>
  <si>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</si>
  <si>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</si>
  <si>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</si>
  <si>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</si>
  <si>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</si>
  <si>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</si>
  <si>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</si>
  <si>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</si>
  <si>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</si>
  <si>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</si>
  <si>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</si>
  <si>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</si>
  <si>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</si>
  <si>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</si>
  <si>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</si>
  <si>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</si>
  <si>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</si>
  <si>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</si>
  <si>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</si>
  <si>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</si>
  <si>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</si>
  <si>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</si>
  <si>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</si>
  <si>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</si>
  <si>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</si>
  <si>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</si>
  <si>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</si>
  <si>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</si>
  <si>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</si>
  <si>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</si>
  <si>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</si>
  <si>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</si>
  <si>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</si>
  <si>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</si>
  <si>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</si>
  <si>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</si>
  <si>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</si>
  <si>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</si>
  <si>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</si>
  <si>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</si>
  <si>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</si>
  <si>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</si>
  <si>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</si>
  <si>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</si>
  <si>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</si>
  <si>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</si>
  <si>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</si>
  <si>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</si>
  <si>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</si>
  <si>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</si>
  <si>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</si>
  <si>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</si>
  <si>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</si>
  <si>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</si>
  <si>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</si>
  <si>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</si>
  <si>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</si>
  <si>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</si>
  <si>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</si>
  <si>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</si>
  <si>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</si>
  <si>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</si>
  <si>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</si>
  <si>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</si>
  <si>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</si>
  <si>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</si>
  <si>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</si>
  <si>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</si>
  <si>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</si>
  <si>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</si>
  <si>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</si>
  <si>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</si>
  <si>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</si>
  <si>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</si>
  <si>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</si>
  <si>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</si>
  <si>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</si>
  <si>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</si>
  <si>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</si>
  <si>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</si>
  <si>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</si>
  <si>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</si>
  <si>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</si>
  <si>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</si>
  <si>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</si>
  <si>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</si>
  <si>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</si>
  <si>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</si>
  <si>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</si>
  <si>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</si>
  <si>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</si>
  <si>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</si>
  <si>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</si>
  <si>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</si>
  <si>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</si>
  <si>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</si>
  <si>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</si>
  <si>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</si>
  <si>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</si>
  <si>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</si>
  <si>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</si>
  <si>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</si>
  <si>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</si>
  <si>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</si>
  <si>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</si>
  <si>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</si>
  <si>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</si>
  <si>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</si>
  <si>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</si>
  <si>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</si>
  <si>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</si>
  <si>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</si>
  <si>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</si>
  <si>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</si>
  <si>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</si>
  <si>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</si>
  <si>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</si>
  <si>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</si>
  <si>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</si>
  <si>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</si>
  <si>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</si>
  <si>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</si>
  <si>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</si>
  <si>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</si>
  <si>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</si>
  <si>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</si>
  <si>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</si>
  <si>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</si>
  <si>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</si>
  <si>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</si>
  <si>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</si>
  <si>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</si>
  <si>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</si>
  <si>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</si>
  <si>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</si>
  <si>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</si>
  <si>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</si>
  <si>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</si>
  <si>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</si>
  <si>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</si>
  <si>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</si>
  <si>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</si>
  <si>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</si>
  <si>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</si>
  <si>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</si>
  <si>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</si>
  <si>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</si>
  <si>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</si>
  <si>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</si>
  <si>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</si>
  <si>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</si>
  <si>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</si>
  <si>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</si>
  <si>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</si>
  <si>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</si>
  <si>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</si>
  <si>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</si>
  <si>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</si>
  <si>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</si>
  <si>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</si>
  <si>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</si>
  <si>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</si>
  <si>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</si>
  <si>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</si>
  <si>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</si>
  <si>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</si>
  <si>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</si>
  <si>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</si>
  <si>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</si>
  <si>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</si>
  <si>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</si>
  <si>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</si>
  <si>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</si>
  <si>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</si>
  <si>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</si>
  <si>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</si>
  <si>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</si>
  <si>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</si>
  <si>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</si>
  <si>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</si>
  <si>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</si>
  <si>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</si>
  <si>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</si>
  <si>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</si>
  <si>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</si>
  <si>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</si>
  <si>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</si>
  <si>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</si>
  <si>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</si>
  <si>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</si>
  <si>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</si>
  <si>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</si>
  <si>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</si>
  <si>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</si>
  <si>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</si>
  <si>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</si>
  <si>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</si>
  <si>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</si>
  <si>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</si>
  <si>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</si>
  <si>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</si>
  <si>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</si>
  <si>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</si>
  <si>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</si>
  <si>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</si>
  <si>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</si>
  <si>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</si>
  <si>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</si>
  <si>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</si>
  <si>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</si>
  <si>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</si>
  <si>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</si>
  <si>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</si>
  <si>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</si>
  <si>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</si>
  <si>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</si>
  <si>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</si>
  <si>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</si>
  <si>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</si>
  <si>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</si>
  <si>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</si>
  <si>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</si>
  <si>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</si>
  <si>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</si>
  <si>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</si>
  <si>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</si>
  <si>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</si>
  <si>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</si>
  <si>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</si>
  <si>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</si>
  <si>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</si>
  <si>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</si>
  <si>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</si>
  <si>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</si>
  <si>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</si>
  <si>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</si>
  <si>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</si>
  <si>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</si>
  <si>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</si>
  <si>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</si>
  <si>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</si>
  <si>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</si>
  <si>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</si>
  <si>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</si>
  <si>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</si>
  <si>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</si>
  <si>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</si>
  <si>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</si>
  <si>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</si>
  <si>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</si>
  <si>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</si>
  <si>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</si>
  <si>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</si>
  <si>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</si>
  <si>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</si>
  <si>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</si>
  <si>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</si>
  <si>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</si>
  <si>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</si>
  <si>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</si>
  <si>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</si>
  <si>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</si>
  <si>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</si>
  <si>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</si>
  <si>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</si>
  <si>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</si>
  <si>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</si>
  <si>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</si>
  <si>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</si>
  <si>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</si>
  <si>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</si>
  <si>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</si>
  <si>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</si>
  <si>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</si>
  <si>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</si>
  <si>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</si>
  <si>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</si>
  <si>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</si>
  <si>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</si>
  <si>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</si>
  <si>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</si>
  <si>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</si>
  <si>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</si>
  <si>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</si>
  <si>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</si>
  <si>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</si>
  <si>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</si>
  <si>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</si>
  <si>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</si>
  <si>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</si>
  <si>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</si>
  <si>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</si>
  <si>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</si>
  <si>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</si>
  <si>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</si>
  <si>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</si>
  <si>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</si>
  <si>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</si>
  <si>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</si>
  <si>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</si>
  <si>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</si>
  <si>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</si>
  <si>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</si>
  <si>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</si>
  <si>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</si>
  <si>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</si>
  <si>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</si>
  <si>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</si>
  <si>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</si>
  <si>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</si>
  <si>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</si>
  <si>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</si>
  <si>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</si>
  <si>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</si>
  <si>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</si>
  <si>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</si>
  <si>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</si>
  <si>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</si>
  <si>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</si>
  <si>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</si>
  <si>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</si>
  <si>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</si>
  <si>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</si>
  <si>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</si>
  <si>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</si>
  <si>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</si>
  <si>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</si>
  <si>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</si>
  <si>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</si>
  <si>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</si>
  <si>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</si>
  <si>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</si>
  <si>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</si>
  <si>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</si>
  <si>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</si>
  <si>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</si>
  <si>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</si>
  <si>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HBAR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</si>
  <si>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</si>
  <si>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</si>
  <si>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</si>
  <si>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</si>
  <si>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</si>
  <si>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</si>
  <si>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</si>
  <si>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</si>
  <si>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</si>
  <si>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</si>
  <si>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</si>
  <si>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</si>
  <si>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</si>
  <si>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</si>
  <si>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</si>
  <si>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</si>
  <si>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</si>
  <si>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</si>
  <si>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</si>
  <si>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</si>
  <si>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</si>
  <si>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</si>
  <si>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</si>
  <si>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</si>
  <si>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</si>
  <si>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</si>
  <si>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</si>
  <si>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SL lệnh mua thêm 200$ ngày 18/08/2025</t>
  </si>
  <si>
    <t>fix lỗi ngày 19/09: mất con HYPE</t>
  </si>
  <si>
    <t>change avg.cost to avg.price</t>
  </si>
  <si>
    <t>Avg. cost</t>
  </si>
  <si>
    <t>(UTC+0)</t>
  </si>
  <si>
    <t>show the warning message when can not fetch the price</t>
  </si>
  <si>
    <t>ETH: 2,440; SOL: 912; BNB: 563; ADA: 324; MNT: 143; WLD: 120; HYPE: 88; SUI: 81; ONDO: 68; LINK: 53; VET: 46; ALGO: 31; ARB: 30; UNI: 29; INJ: 28; NEAR: 27; AR: 19</t>
  </si>
  <si>
    <t>ETH: 2,704; SOL: 1,060; BNB: 577; ADA: 364; WLD: 141; MNT: 135; HYPE: 111; SUI: 91; ONDO: 78; LINK: 59; VET: 51; UNI: 35; ALGO: 34; ARB: 34; INJ: 33; NEAR: 31; AR: 22</t>
  </si>
  <si>
    <t>ETH: 2,513; SOL: 941; BNB: 597; ADA: 332; MNT: 141; WLD: 127; HYPE: 90; SUI: 84; ONDO: 70; LINK: 54; VET: 47; ALGO: 31; NEAR: 30; UNI: 30; ARB: 30; INJ: 29; AR: 20</t>
  </si>
  <si>
    <t>ETH: 2,711; SOL: 1,065; BNB: 612; ADA: 365; WLD: 141; MNT: 137; HYPE: 107; SUI: 92; ONDO: 77; LINK: 58; VET: 51; ALGO: 35; UNI: 35; ARB: 34; INJ: 33; NEAR: 31; AR: 22</t>
  </si>
  <si>
    <t>ETH: 2,786; SOL: 969; BNB: 543; ADA: 363; WLD: 148; MNT: 134; HYPE: 106; SUI: 93; ONDO: 80; LINK: 60; VET: 51; UNI: 36; ARB: 36; ALGO: 35; INJ: 33; NEAR: 27; AR: 24</t>
  </si>
  <si>
    <t>ETH: 2,776; SOL: 1,100; BNB: 575; ADA: 378; MNT: 344; WLD: 150; HYPE: 115; SUI: 98; ONDO: 82; LINK: 62; VET: 53; UNI: 37; ARB: 37; ALGO: 36; INJ: 35; NEAR: 31; AR: 24</t>
  </si>
  <si>
    <t>ETH: 2,608; SOL: 878; BNB: 516; ADA: 354; WLD: 181; MNT: 110; HYPE: 105; SUI: 87; ONDO: 72; LINK: 58; VET: 50; UNI: 36; ALGO: 34; INJ: 33; NEAR: 26; AR: 23</t>
  </si>
  <si>
    <t>ETH: 2,632; SOL: 906; BNB: 524; ADA: 362; WLD: 175; MNT: 121; HYPE: 109; SUI: 91; ONDO: 78; LINK: 59; VET: 50; UNI: 37; ALGO: 35; INJ: 33; NEAR: 27; AR: 24</t>
  </si>
  <si>
    <t>ETH: 2,698; SOL: 925; BNB: 529; ADA: 365; WLD: 155; MNT: 134; HYPE: 112; SUI: 92; ONDO: 82; LINK: 61; VET: 51; UNI: 38; ALGO: 36; INJ: 34; NEAR: 27; AR: 24</t>
  </si>
  <si>
    <t>ETH: 2,851; SOL: 979; BNB: 542; ADA: 375; WLD: 156; MNT: 141; HYPE: 109; SUI: 93; ONDO: 84; LINK: 63; VET: 52; UNI: 39; ALGO: 36; INJ: 34; NEAR: 28; AR: 25</t>
  </si>
  <si>
    <t>ETH: 2,824; SOL: 980; BNB: 547; ADA: 380; WLD: 155; MNT: 135; HYPE: 107; SUI: 96; ONDO: 83; LINK: 62; VET: 53; UNI: 39; ARB: 38; ALGO: 37; INJ: 34; NEAR: 28; AR: 25</t>
  </si>
  <si>
    <t>ETH: 2,737; SOL: 947; BNB: 539; ADA: 353; WLD: 142; MNT: 134; HYPE: 106; SUI: 88; ONDO: 79; LINK: 59; VET: 50; UNI: 35; ALGO: 34; ARB: 34; INJ: 32; NEAR: 26; AR: 23</t>
  </si>
  <si>
    <t>ETH: 2,724; SOL: 958; BNB: 560; ADA: 360; MNT: 143; WLD: 142; HYPE: 107; SUI: 90; ONDO: 78; LINK: 59; VET: 50; UNI: 36; ALGO: 35; ARB: 35; INJ: 33; NEAR: 27; AR: 23</t>
  </si>
  <si>
    <t>ETH: 2,778; SOL: 990; BNB: 580; ADA: 374; WLD: 150; MNT: 139; HYPE: 114; SUI: 95; ONDO: 81; LINK: 60; VET: 52; UNI: 37; ALGO: 36; ARB: 36; INJ: 34; NEAR: 28; AR: 24</t>
  </si>
  <si>
    <t>ETH: 2,690; SOL: 1,050; BNB: 614; ADA: 361; WLD: 137; MNT: 127; HYPE: 100; SUI: 91; ONDO: 75; LINK: 57; VET: 50; UNI: 35; ALGO: 34; ARB: 34; INJ: 32; NEAR: 31; AR: 22</t>
  </si>
  <si>
    <t>ETH: 2,541; SOL: 980; BNB: 582; ADA: 338; MNT: 142; WLD: 131; HYPE: 93; SUI: 84; ONDO: 72; LINK: 54; VET: 47; ALGO: 31; UNI: 31; ARB: 30; NEAR: 29; INJ: 29; AR: 20</t>
  </si>
  <si>
    <t>ETH: 2,520; SOL: 948; BNB: 596; ADA: 330; MNT: 144; WLD: 122; HYPE: 88; SUI: 83; ONDO: 70; LINK: 54; VET: 46; ALGO: 31; UNI: 31; ARB: 30; NEAR: 29; INJ: 29; AR: 19</t>
  </si>
  <si>
    <t>ETH: 2,432; SOL: 905; BNB: 568; ADA: 319; MNT: 140; WLD: 120; HYPE: 90; SUI: 80; ONDO: 67; LINK: 52; VET: 45; ALGO: 30; ARB: 30; UNI: 29; INJ: 28; NEAR: 27; AR: 19</t>
  </si>
  <si>
    <t>hồi về đỉnh cũ có phản ứng (phân tích H1), múc thêm 200$</t>
  </si>
  <si>
    <t>ETH: 2,629; SOL: 897; BNB: 570; ADA: 317; MNT: 143; WLD: 118; HYPE: 89; SUI: 79; ONDO: 67; LINK: 52; VET: 45; ALGO: 30; UNI: 29; ARB: 29; INJ: 28; NEAR: 27; AR: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</si>
</sst>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196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4" fontId="7" fillId="0" borderId="0" xfId="0" applyNumberFormat="1" applyFont="1" applyAlignment="1">
      <alignment horizontal="right" vertical="center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3" fontId="15" fillId="0" borderId="6" xfId="0" applyNumberFormat="1" applyFont="1" applyBorder="1" applyAlignment="1">
      <alignment horizontal="right" vertical="center"/>
    </xf>
    <xf numFmtId="166" fontId="15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4" fontId="0" fillId="0" borderId="0" xfId="0" applyNumberFormat="1"/>
    <xf numFmtId="4" fontId="7" fillId="0" borderId="1" xfId="0" applyNumberFormat="1" applyFont="1" applyBorder="1"/>
    <xf numFmtId="3" fontId="15" fillId="0" borderId="5" xfId="0" applyNumberFormat="1" applyFont="1" applyBorder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4" fontId="7" fillId="0" borderId="0" xfId="0" applyNumberFormat="1" applyFont="1"/>
    <xf numFmtId="174" fontId="7" fillId="0" borderId="5" xfId="0" applyNumberFormat="1" applyFont="1" applyBorder="1" applyAlignment="1">
      <alignment horizontal="right" vertical="center"/>
    </xf>
    <xf numFmtId="174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6" fontId="7" fillId="0" borderId="1" xfId="0" applyNumberFormat="1" applyFont="1" applyBorder="1" applyAlignment="1">
      <alignment horizontal="right" vertical="center"/>
    </xf>
    <xf numFmtId="166" fontId="7" fillId="0" borderId="0" xfId="0" applyNumberFormat="1" applyFont="1"/>
    <xf numFmtId="0" fontId="7" fillId="0" borderId="5" xfId="0" applyFont="1" applyBorder="1" applyAlignment="1">
      <alignment horizontal="right" vertical="center"/>
    </xf>
    <xf numFmtId="3" fontId="14" fillId="0" borderId="0" xfId="0" applyNumberFormat="1" applyFont="1"/>
    <xf numFmtId="166" fontId="14" fillId="0" borderId="0" xfId="0" applyNumberFormat="1" applyFont="1"/>
    <xf numFmtId="3" fontId="3" fillId="7" borderId="1" xfId="0" applyNumberFormat="1" applyFont="1" applyFill="1" applyBorder="1" applyAlignment="1">
      <alignment horizontal="left"/>
    </xf>
    <xf numFmtId="0" fontId="7" fillId="0" borderId="0" xfId="0" applyFont="1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23" fillId="0" borderId="0" xfId="0" applyNumberFormat="1" applyFont="1"/>
    <xf numFmtId="0" fontId="11" fillId="0" borderId="0" xfId="0" applyFont="1" applyAlignment="1">
      <alignment horizontal="center"/>
    </xf>
    <xf numFmtId="167" fontId="2" fillId="0" borderId="0" xfId="0" applyNumberFormat="1" applyFont="1" applyBorder="1" applyAlignment="1">
      <alignment horizontal="right" vertical="center"/>
    </xf>
    <xf numFmtId="172" fontId="7" fillId="0" borderId="0" xfId="0" applyNumberFormat="1" applyFont="1" applyBorder="1" applyAlignment="1">
      <alignment horizontal="right" vertical="center"/>
    </xf>
    <xf numFmtId="174" fontId="7" fillId="0" borderId="0" xfId="0" applyNumberFormat="1" applyFont="1" applyBorder="1" applyAlignment="1">
      <alignment horizontal="right" vertical="center"/>
    </xf>
    <xf numFmtId="174" fontId="2" fillId="0" borderId="5" xfId="0" applyNumberFormat="1" applyFont="1" applyBorder="1" applyAlignment="1">
      <alignment horizontal="right" vertical="center"/>
    </xf>
    <xf numFmtId="3" fontId="7" fillId="0" borderId="0" xfId="0" applyNumberFormat="1" applyFont="1" applyBorder="1"/>
    <xf numFmtId="3" fontId="7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166" fontId="7" fillId="0" borderId="0" xfId="0" applyNumberFormat="1" applyFont="1" applyBorder="1" applyAlignment="1">
      <alignment horizontal="right" vertical="center"/>
    </xf>
    <xf numFmtId="166" fontId="2" fillId="0" borderId="5" xfId="0" applyNumberFormat="1" applyFont="1" applyBorder="1" applyAlignment="1">
      <alignment horizontal="right" vertical="center"/>
    </xf>
    <xf numFmtId="3" fontId="15" fillId="0" borderId="0" xfId="0" applyNumberFormat="1" applyFont="1" applyBorder="1" applyAlignment="1">
      <alignment horizontal="right" vertical="center"/>
    </xf>
    <xf numFmtId="3" fontId="18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 applyAlignment="1">
      <alignment horizontal="right" vertical="center"/>
    </xf>
    <xf numFmtId="166" fontId="18" fillId="0" borderId="0" xfId="0" applyNumberFormat="1" applyFont="1" applyBorder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7" fillId="0" borderId="0" xfId="0" applyNumberFormat="1" applyFont="1"/>
    <xf numFmtId="0" fontId="0" fillId="0" borderId="1" xfId="0" applyNumberForma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0" fontId="7" fillId="0" borderId="1" xfId="0" applyNumberFormat="1" applyFont="1" applyBorder="1" applyAlignment="1">
      <alignment horizontal="right" vertical="center"/>
    </xf>
    <xf numFmtId="167" fontId="2" fillId="0" borderId="0" xfId="0" applyNumberFormat="1" applyFont="1" applyBorder="1" applyAlignment="1">
      <alignment horizontal="right"/>
    </xf>
    <xf numFmtId="17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/>
    <xf numFmtId="0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4" fontId="7" fillId="0" borderId="0" xfId="0" applyNumberFormat="1" applyFont="1" applyBorder="1"/>
    <xf numFmtId="0" fontId="7" fillId="0" borderId="0" xfId="0" applyNumberFormat="1" applyFont="1" applyBorder="1"/>
    <xf numFmtId="166" fontId="7" fillId="0" borderId="0" xfId="0" applyNumberFormat="1" applyFont="1" applyBorder="1"/>
    <xf numFmtId="3" fontId="18" fillId="0" borderId="0" xfId="0" applyNumberFormat="1" applyFont="1" applyBorder="1"/>
    <xf numFmtId="166" fontId="18" fillId="0" borderId="0" xfId="0" applyNumberFormat="1" applyFont="1" applyBorder="1"/>
    <xf numFmtId="3" fontId="15" fillId="0" borderId="0" xfId="0" applyNumberFormat="1" applyFont="1" applyBorder="1"/>
    <xf numFmtId="166" fontId="15" fillId="0" borderId="0" xfId="0" applyNumberFormat="1" applyFont="1" applyBorder="1"/>
    <xf numFmtId="174" fontId="2" fillId="0" borderId="0" xfId="0" applyNumberFormat="1" applyFont="1" applyBorder="1" applyAlignment="1">
      <alignment horizontal="right" vertical="center" wrapText="1"/>
    </xf>
    <xf numFmtId="4" fontId="0" fillId="0" borderId="0" xfId="0" applyNumberFormat="1" applyBorder="1" applyAlignment="1">
      <alignment horizontal="right" vertical="center"/>
    </xf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587</c:v>
              </c:pt>
              <c:pt idx="1">
                <c:v>5167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7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  <c:pt idx="5">
                <c:v>LINK</c:v>
              </c:pt>
              <c:pt idx="6">
                <c:v>HYPE</c:v>
              </c:pt>
            </c:strLit>
          </c:cat>
          <c:val>
            <c:numLit>
              <c:formatCode>General</c:formatCode>
              <c:ptCount val="7"/>
              <c:pt idx="0">
                <c:v>2629</c:v>
              </c:pt>
              <c:pt idx="1">
                <c:v>570</c:v>
              </c:pt>
              <c:pt idx="2">
                <c:v>317</c:v>
              </c:pt>
              <c:pt idx="3">
                <c:v>79</c:v>
              </c:pt>
              <c:pt idx="4">
                <c:v>897</c:v>
              </c:pt>
              <c:pt idx="5">
                <c:v>52</c:v>
              </c:pt>
              <c:pt idx="6">
                <c:v>89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UNI</c:v>
              </c:pt>
              <c:pt idx="6">
                <c:v>INJ</c:v>
              </c:pt>
              <c:pt idx="7">
                <c:v>MNT</c:v>
              </c:pt>
              <c:pt idx="8">
                <c:v>ARB</c:v>
              </c:pt>
            </c:strLit>
          </c:cat>
          <c:val>
            <c:numLit>
              <c:formatCode>General</c:formatCode>
              <c:ptCount val="9"/>
              <c:pt idx="0">
                <c:v>45</c:v>
              </c:pt>
              <c:pt idx="1">
                <c:v>30</c:v>
              </c:pt>
              <c:pt idx="2">
                <c:v>27</c:v>
              </c:pt>
              <c:pt idx="3">
                <c:v>118</c:v>
              </c:pt>
              <c:pt idx="4">
                <c:v>67</c:v>
              </c:pt>
              <c:pt idx="5">
                <c:v>29</c:v>
              </c:pt>
              <c:pt idx="6">
                <c:v>28</c:v>
              </c:pt>
              <c:pt idx="7">
                <c:v>143</c:v>
              </c:pt>
              <c:pt idx="8">
                <c:v>29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AR</c:v>
              </c:pt>
            </c:strLit>
          </c:cat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3E5C-4357-8A27-A3FE4B5F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4633</c:v>
              </c:pt>
              <c:pt idx="2">
                <c:v>516</c:v>
              </c:pt>
              <c:pt idx="3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45836</c:v>
                </c:pt>
                <c:pt idx="1">
                  <c:v>45837</c:v>
                </c:pt>
                <c:pt idx="2">
                  <c:v>45838</c:v>
                </c:pt>
                <c:pt idx="3">
                  <c:v>45839</c:v>
                </c:pt>
                <c:pt idx="4">
                  <c:v>45840</c:v>
                </c:pt>
                <c:pt idx="5">
                  <c:v>45841</c:v>
                </c:pt>
                <c:pt idx="6">
                  <c:v>45842</c:v>
                </c:pt>
                <c:pt idx="7">
                  <c:v>45843</c:v>
                </c:pt>
                <c:pt idx="8">
                  <c:v>45844</c:v>
                </c:pt>
                <c:pt idx="9">
                  <c:v>45845</c:v>
                </c:pt>
                <c:pt idx="10">
                  <c:v>45846</c:v>
                </c:pt>
                <c:pt idx="11">
                  <c:v>45847</c:v>
                </c:pt>
                <c:pt idx="12">
                  <c:v>45848</c:v>
                </c:pt>
                <c:pt idx="13">
                  <c:v>45849</c:v>
                </c:pt>
                <c:pt idx="14">
                  <c:v>45850</c:v>
                </c:pt>
                <c:pt idx="15">
                  <c:v>45851</c:v>
                </c:pt>
                <c:pt idx="16">
                  <c:v>45852</c:v>
                </c:pt>
                <c:pt idx="17">
                  <c:v>45853</c:v>
                </c:pt>
                <c:pt idx="18">
                  <c:v>45854</c:v>
                </c:pt>
                <c:pt idx="19">
                  <c:v>45855</c:v>
                </c:pt>
                <c:pt idx="20">
                  <c:v>45856</c:v>
                </c:pt>
                <c:pt idx="21">
                  <c:v>45857</c:v>
                </c:pt>
                <c:pt idx="22">
                  <c:v>45858</c:v>
                </c:pt>
                <c:pt idx="23">
                  <c:v>45859</c:v>
                </c:pt>
                <c:pt idx="24">
                  <c:v>45860</c:v>
                </c:pt>
                <c:pt idx="25">
                  <c:v>45861</c:v>
                </c:pt>
                <c:pt idx="26">
                  <c:v>45862</c:v>
                </c:pt>
                <c:pt idx="27">
                  <c:v>45863</c:v>
                </c:pt>
                <c:pt idx="28">
                  <c:v>45864</c:v>
                </c:pt>
                <c:pt idx="29">
                  <c:v>45865</c:v>
                </c:pt>
                <c:pt idx="30">
                  <c:v>45866</c:v>
                </c:pt>
                <c:pt idx="31">
                  <c:v>45867</c:v>
                </c:pt>
                <c:pt idx="32">
                  <c:v>45868</c:v>
                </c:pt>
                <c:pt idx="33">
                  <c:v>45869</c:v>
                </c:pt>
                <c:pt idx="34">
                  <c:v>45870</c:v>
                </c:pt>
                <c:pt idx="35">
                  <c:v>45871</c:v>
                </c:pt>
                <c:pt idx="36">
                  <c:v>45872</c:v>
                </c:pt>
                <c:pt idx="37">
                  <c:v>45873</c:v>
                </c:pt>
                <c:pt idx="38">
                  <c:v>45874</c:v>
                </c:pt>
                <c:pt idx="39">
                  <c:v>45875</c:v>
                </c:pt>
                <c:pt idx="40">
                  <c:v>45876</c:v>
                </c:pt>
                <c:pt idx="41">
                  <c:v>45877</c:v>
                </c:pt>
                <c:pt idx="42">
                  <c:v>45878</c:v>
                </c:pt>
                <c:pt idx="43">
                  <c:v>45879</c:v>
                </c:pt>
                <c:pt idx="44">
                  <c:v>45880</c:v>
                </c:pt>
                <c:pt idx="45">
                  <c:v>45881</c:v>
                </c:pt>
                <c:pt idx="46">
                  <c:v>45882</c:v>
                </c:pt>
                <c:pt idx="47">
                  <c:v>45883</c:v>
                </c:pt>
                <c:pt idx="49">
                  <c:v>45885</c:v>
                </c:pt>
                <c:pt idx="50">
                  <c:v>45886</c:v>
                </c:pt>
                <c:pt idx="51">
                  <c:v>45887</c:v>
                </c:pt>
                <c:pt idx="52">
                  <c:v>45888</c:v>
                </c:pt>
                <c:pt idx="53">
                  <c:v>45889</c:v>
                </c:pt>
                <c:pt idx="54">
                  <c:v>45890</c:v>
                </c:pt>
                <c:pt idx="55">
                  <c:v>45891</c:v>
                </c:pt>
                <c:pt idx="56">
                  <c:v>45892</c:v>
                </c:pt>
                <c:pt idx="57">
                  <c:v>45893</c:v>
                </c:pt>
                <c:pt idx="58">
                  <c:v>45894</c:v>
                </c:pt>
                <c:pt idx="59">
                  <c:v>45895</c:v>
                </c:pt>
                <c:pt idx="60">
                  <c:v>45896</c:v>
                </c:pt>
                <c:pt idx="61">
                  <c:v>45897</c:v>
                </c:pt>
                <c:pt idx="62">
                  <c:v>45898</c:v>
                </c:pt>
                <c:pt idx="63">
                  <c:v>45899</c:v>
                </c:pt>
                <c:pt idx="64">
                  <c:v>45900</c:v>
                </c:pt>
                <c:pt idx="65">
                  <c:v>45901</c:v>
                </c:pt>
                <c:pt idx="66">
                  <c:v>45902</c:v>
                </c:pt>
                <c:pt idx="67">
                  <c:v>45903</c:v>
                </c:pt>
                <c:pt idx="68">
                  <c:v>45904</c:v>
                </c:pt>
                <c:pt idx="69">
                  <c:v>45905</c:v>
                </c:pt>
                <c:pt idx="70">
                  <c:v>45906</c:v>
                </c:pt>
                <c:pt idx="71">
                  <c:v>45907</c:v>
                </c:pt>
                <c:pt idx="72">
                  <c:v>45908</c:v>
                </c:pt>
                <c:pt idx="73">
                  <c:v>45909</c:v>
                </c:pt>
                <c:pt idx="74">
                  <c:v>45910</c:v>
                </c:pt>
                <c:pt idx="75">
                  <c:v>45911</c:v>
                </c:pt>
                <c:pt idx="76">
                  <c:v>45912</c:v>
                </c:pt>
                <c:pt idx="77">
                  <c:v>45913</c:v>
                </c:pt>
                <c:pt idx="78">
                  <c:v>45914</c:v>
                </c:pt>
                <c:pt idx="79">
                  <c:v>45915</c:v>
                </c:pt>
                <c:pt idx="80">
                  <c:v>45916</c:v>
                </c:pt>
                <c:pt idx="81">
                  <c:v>45917</c:v>
                </c:pt>
                <c:pt idx="82">
                  <c:v>45918</c:v>
                </c:pt>
                <c:pt idx="83">
                  <c:v>45919</c:v>
                </c:pt>
                <c:pt idx="84">
                  <c:v>45920</c:v>
                </c:pt>
                <c:pt idx="85">
                  <c:v>45921</c:v>
                </c:pt>
                <c:pt idx="86">
                  <c:v>45922</c:v>
                </c:pt>
                <c:pt idx="87">
                  <c:v>45923</c:v>
                </c:pt>
                <c:pt idx="88">
                  <c:v>45924</c:v>
                </c:pt>
                <c:pt idx="89">
                  <c:v>45925</c:v>
                </c:pt>
                <c:pt idx="90">
                  <c:v>45926</c:v>
                </c:pt>
                <c:pt idx="91">
                  <c:v>45927</c:v>
                </c:pt>
                <c:pt idx="92">
                  <c:v>45928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4921</c:v>
              </c:pt>
              <c:pt idx="1">
                <c:v>4957</c:v>
              </c:pt>
              <c:pt idx="2">
                <c:v>4949</c:v>
              </c:pt>
              <c:pt idx="3">
                <c:v>4904</c:v>
              </c:pt>
              <c:pt idx="4">
                <c:v>4997</c:v>
              </c:pt>
              <c:pt idx="5">
                <c:v>5008</c:v>
              </c:pt>
              <c:pt idx="6">
                <c:v>4962</c:v>
              </c:pt>
              <c:pt idx="7">
                <c:v>4967</c:v>
              </c:pt>
              <c:pt idx="8">
                <c:v>4997</c:v>
              </c:pt>
              <c:pt idx="9">
                <c:v>4981</c:v>
              </c:pt>
              <c:pt idx="10">
                <c:v>5022</c:v>
              </c:pt>
              <c:pt idx="11">
                <c:v>5108</c:v>
              </c:pt>
              <c:pt idx="12">
                <c:v>5210</c:v>
              </c:pt>
              <c:pt idx="13">
                <c:v>5213</c:v>
              </c:pt>
              <c:pt idx="14">
                <c:v>5205</c:v>
              </c:pt>
              <c:pt idx="15">
                <c:v>5221</c:v>
              </c:pt>
              <c:pt idx="16">
                <c:v>5244</c:v>
              </c:pt>
              <c:pt idx="17">
                <c:v>5314</c:v>
              </c:pt>
              <c:pt idx="18">
                <c:v>5444</c:v>
              </c:pt>
              <c:pt idx="19">
                <c:v>5503</c:v>
              </c:pt>
              <c:pt idx="20">
                <c:v>5542</c:v>
              </c:pt>
              <c:pt idx="21">
                <c:v>5567</c:v>
              </c:pt>
              <c:pt idx="22">
                <c:v>5659</c:v>
              </c:pt>
              <c:pt idx="23">
                <c:v>5663</c:v>
              </c:pt>
              <c:pt idx="24">
                <c:v>5654</c:v>
              </c:pt>
              <c:pt idx="25">
                <c:v>5588</c:v>
              </c:pt>
              <c:pt idx="26">
                <c:v>5632</c:v>
              </c:pt>
              <c:pt idx="27">
                <c:v>5642</c:v>
              </c:pt>
              <c:pt idx="28">
                <c:v>5651</c:v>
              </c:pt>
              <c:pt idx="29">
                <c:v>5724</c:v>
              </c:pt>
              <c:pt idx="30">
                <c:v>5683</c:v>
              </c:pt>
              <c:pt idx="31">
                <c:v>5680</c:v>
              </c:pt>
              <c:pt idx="32">
                <c:v>5689</c:v>
              </c:pt>
              <c:pt idx="33">
                <c:v>5627</c:v>
              </c:pt>
              <c:pt idx="34">
                <c:v>5120</c:v>
              </c:pt>
              <c:pt idx="35">
                <c:v>5017</c:v>
              </c:pt>
              <c:pt idx="36">
                <c:v>5130</c:v>
              </c:pt>
              <c:pt idx="37">
                <c:v>5327</c:v>
              </c:pt>
              <c:pt idx="38">
                <c:v>5203</c:v>
              </c:pt>
              <c:pt idx="39">
                <c:v>5283</c:v>
              </c:pt>
              <c:pt idx="40">
                <c:v>5505</c:v>
              </c:pt>
              <c:pt idx="41">
                <c:v>5582</c:v>
              </c:pt>
              <c:pt idx="42">
                <c:v>5761</c:v>
              </c:pt>
              <c:pt idx="43">
                <c:v>5767</c:v>
              </c:pt>
              <c:pt idx="44">
                <c:v>5680</c:v>
              </c:pt>
              <c:pt idx="45">
                <c:v>6035</c:v>
              </c:pt>
              <c:pt idx="46">
                <c:v>6221</c:v>
              </c:pt>
              <c:pt idx="47">
                <c:v>6028</c:v>
              </c:pt>
              <c:pt idx="48">
                <c:v>5933</c:v>
              </c:pt>
              <c:pt idx="49">
                <c:v>5945</c:v>
              </c:pt>
              <c:pt idx="50">
                <c:v>6015</c:v>
              </c:pt>
              <c:pt idx="51">
                <c:v>5851</c:v>
              </c:pt>
              <c:pt idx="52">
                <c:v>5605</c:v>
              </c:pt>
              <c:pt idx="53">
                <c:v>5881</c:v>
              </c:pt>
              <c:pt idx="54">
                <c:v>5735</c:v>
              </c:pt>
              <c:pt idx="55">
                <c:v>6302</c:v>
              </c:pt>
              <c:pt idx="56">
                <c:v>6259</c:v>
              </c:pt>
              <c:pt idx="57">
                <c:v>6253</c:v>
              </c:pt>
              <c:pt idx="58">
                <c:v>5832</c:v>
              </c:pt>
              <c:pt idx="59">
                <c:v>6053</c:v>
              </c:pt>
              <c:pt idx="60">
                <c:v>6006</c:v>
              </c:pt>
              <c:pt idx="61">
                <c:v>6083</c:v>
              </c:pt>
              <c:pt idx="62">
                <c:v>5905</c:v>
              </c:pt>
              <c:pt idx="63">
                <c:v>5903</c:v>
              </c:pt>
              <c:pt idx="64">
                <c:v>5890</c:v>
              </c:pt>
              <c:pt idx="65">
                <c:v>5808</c:v>
              </c:pt>
              <c:pt idx="66">
                <c:v>5901</c:v>
              </c:pt>
              <c:pt idx="67">
                <c:v>5988</c:v>
              </c:pt>
              <c:pt idx="68">
                <c:v>5824</c:v>
              </c:pt>
              <c:pt idx="69">
                <c:v>5858</c:v>
              </c:pt>
              <c:pt idx="70">
                <c:v>5827</c:v>
              </c:pt>
              <c:pt idx="71">
                <c:v>5901</c:v>
              </c:pt>
              <c:pt idx="72">
                <c:v>6008</c:v>
              </c:pt>
              <c:pt idx="73">
                <c:v>6074</c:v>
              </c:pt>
              <c:pt idx="74">
                <c:v>6165</c:v>
              </c:pt>
              <c:pt idx="75">
                <c:v>6266</c:v>
              </c:pt>
              <c:pt idx="76">
                <c:v>6509</c:v>
              </c:pt>
              <c:pt idx="77">
                <c:v>6525</c:v>
              </c:pt>
              <c:pt idx="78">
                <c:v>6426</c:v>
              </c:pt>
              <c:pt idx="79">
                <c:v>6321</c:v>
              </c:pt>
              <c:pt idx="80">
                <c:v>6360</c:v>
              </c:pt>
              <c:pt idx="81">
                <c:v>6508</c:v>
              </c:pt>
              <c:pt idx="82">
                <c:v>6535</c:v>
              </c:pt>
              <c:pt idx="83">
                <c:v>6347</c:v>
              </c:pt>
              <c:pt idx="84">
                <c:v>6392</c:v>
              </c:pt>
              <c:pt idx="85">
                <c:v>6327</c:v>
              </c:pt>
              <c:pt idx="86">
                <c:v>6021</c:v>
              </c:pt>
              <c:pt idx="87">
                <c:v>5957</c:v>
              </c:pt>
              <c:pt idx="88">
                <c:v>5953</c:v>
              </c:pt>
              <c:pt idx="89">
                <c:v>5581</c:v>
              </c:pt>
              <c:pt idx="90">
                <c:v>5789</c:v>
              </c:pt>
              <c:pt idx="91">
                <c:v>5766</c:v>
              </c:pt>
              <c:pt idx="92">
                <c:v>5758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36635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18</xdr:col>
      <xdr:colOff>94184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890098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18</xdr:col>
      <xdr:colOff>195266</xdr:colOff>
      <xdr:row>4</xdr:row>
      <xdr:rowOff>4991</xdr:rowOff>
    </xdr:from>
    <xdr:to>
      <xdr:col>21</xdr:col>
      <xdr:colOff>895765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17845</xdr:rowOff>
    </xdr:from>
    <xdr:to>
      <xdr:col>12</xdr:col>
      <xdr:colOff>442984</xdr:colOff>
      <xdr:row>15</xdr:row>
      <xdr:rowOff>127749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551</xdr:row>
          <xdr:rowOff>142875</xdr:rowOff>
        </xdr:from>
        <xdr:to>
          <xdr:col>9</xdr:col>
          <xdr:colOff>38100</xdr:colOff>
          <xdr:row>554</xdr:row>
          <xdr:rowOff>114300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B09020E3-832D-E4B5-0615-36A525CE7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552</xdr:row>
          <xdr:rowOff>142875</xdr:rowOff>
        </xdr:from>
        <xdr:to>
          <xdr:col>11</xdr:col>
          <xdr:colOff>371475</xdr:colOff>
          <xdr:row>555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DD306670-69FD-6E21-D3A0-C03559859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3" customWidth="1"/>
    <col min="2" max="2" width="11.42578125" style="93" customWidth="1"/>
    <col min="3" max="16384" width="9.140625" style="93"/>
  </cols>
  <sheetData>
    <row r="2" spans="1:10" x14ac:dyDescent="0.2">
      <c r="A2" s="93" t="s">
        <v>146</v>
      </c>
      <c r="B2" s="96">
        <v>45870</v>
      </c>
    </row>
    <row r="3" spans="1:10" x14ac:dyDescent="0.2">
      <c r="A3" s="93" t="s">
        <v>147</v>
      </c>
      <c r="B3" s="96">
        <v>45899</v>
      </c>
    </row>
    <row r="5" spans="1:10" x14ac:dyDescent="0.2">
      <c r="A5" s="97"/>
      <c r="E5" s="98"/>
      <c r="J5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zoomScale="130" zoomScaleNormal="130" workbookViewId="0">
      <selection activeCell="E13" sqref="E13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5" t="s">
        <v>664</v>
      </c>
      <c r="B1" s="116"/>
      <c r="C1" s="116"/>
      <c r="D1" s="114"/>
      <c r="E1" s="3"/>
      <c r="G1" s="3"/>
      <c r="H1" s="3"/>
    </row>
    <row r="2" spans="1:16 16383:16384" ht="15.75" customHeight="1" x14ac:dyDescent="0.2">
      <c r="A2" s="75"/>
      <c r="B2" s="76"/>
      <c r="C2" s="76"/>
      <c r="D2" s="3"/>
      <c r="E2" s="3"/>
      <c r="G2" s="3"/>
      <c r="H2" s="3"/>
      <c r="XFC2" s="119">
        <v>45836</v>
      </c>
      <c r="XFD2" s="113">
        <v>45809</v>
      </c>
    </row>
    <row r="3" spans="1:16 16383:16384" ht="15.75" customHeight="1" x14ac:dyDescent="0.2">
      <c r="A3" s="91" t="s">
        <v>673</v>
      </c>
      <c r="B3" s="120">
        <v>45928</v>
      </c>
      <c r="C3" s="3" t="s">
        <v>716</v>
      </c>
      <c r="F3" s="56"/>
      <c r="H3" s="3"/>
      <c r="N3" s="56"/>
      <c r="O3" s="10"/>
      <c r="P3" s="10"/>
      <c r="XFC3" s="119">
        <v>45837</v>
      </c>
      <c r="XFD3" s="113">
        <v>45810</v>
      </c>
    </row>
    <row r="4" spans="1:16 16383:16384" ht="15.75" customHeight="1" x14ac:dyDescent="0.2">
      <c r="A4" s="91"/>
      <c r="B4" s="3"/>
      <c r="C4" s="3"/>
      <c r="F4" s="56"/>
      <c r="H4" s="3"/>
      <c r="O4" s="10"/>
      <c r="P4" s="10"/>
      <c r="XFC4" s="119">
        <v>45838</v>
      </c>
      <c r="XFD4" s="113">
        <v>45811</v>
      </c>
    </row>
    <row r="5" spans="1:16 16383:16384" ht="15.75" customHeight="1" x14ac:dyDescent="0.2">
      <c r="A5" s="151" t="s">
        <v>665</v>
      </c>
      <c r="B5" s="151"/>
      <c r="C5" s="151"/>
      <c r="F5" s="56"/>
      <c r="H5" s="3"/>
      <c r="O5" s="10"/>
      <c r="P5" s="10"/>
      <c r="XFC5" s="119">
        <v>45839</v>
      </c>
      <c r="XFD5" s="113">
        <v>45812</v>
      </c>
    </row>
    <row r="6" spans="1:16 16383:16384" ht="15.75" customHeight="1" x14ac:dyDescent="0.2">
      <c r="A6" s="5"/>
      <c r="B6" s="24"/>
      <c r="C6" s="117" t="s">
        <v>667</v>
      </c>
      <c r="D6" s="155" t="s">
        <v>666</v>
      </c>
      <c r="E6" s="155"/>
      <c r="F6" s="56"/>
      <c r="H6" s="3"/>
      <c r="O6" s="10"/>
      <c r="P6" s="10"/>
      <c r="XFC6" s="119">
        <v>45840</v>
      </c>
      <c r="XFD6" s="113">
        <v>45813</v>
      </c>
    </row>
    <row r="7" spans="1:16 16383:16384" ht="15.75" customHeight="1" x14ac:dyDescent="0.2">
      <c r="A7" s="109" t="s">
        <v>138</v>
      </c>
      <c r="B7" s="24">
        <v>587</v>
      </c>
      <c r="C7" s="118"/>
      <c r="F7" s="56"/>
      <c r="H7" s="3"/>
      <c r="O7" s="10"/>
      <c r="P7" s="10"/>
      <c r="XFC7" s="119">
        <v>45841</v>
      </c>
      <c r="XFD7" s="113">
        <v>45814</v>
      </c>
    </row>
    <row r="8" spans="1:16 16383:16384" ht="15.75" customHeight="1" x14ac:dyDescent="0.2">
      <c r="A8" s="109" t="s">
        <v>111</v>
      </c>
      <c r="B8" s="24">
        <v>5167</v>
      </c>
      <c r="C8" s="118"/>
      <c r="F8" s="56"/>
      <c r="H8" s="3"/>
      <c r="O8" s="10"/>
      <c r="P8" s="10"/>
      <c r="XFC8" s="119">
        <v>45842</v>
      </c>
      <c r="XFD8" s="113">
        <v>45815</v>
      </c>
    </row>
    <row r="9" spans="1:16 16383:16384" ht="15.75" customHeight="1" x14ac:dyDescent="0.2">
      <c r="A9" s="92" t="s">
        <v>0</v>
      </c>
      <c r="B9" s="76">
        <v>5754</v>
      </c>
      <c r="C9">
        <f>storage!B9</f>
        <v>6509</v>
      </c>
      <c r="D9" s="156" t="s">
        <v>707</v>
      </c>
      <c r="E9" s="157"/>
      <c r="F9" s="56"/>
      <c r="H9" s="3"/>
      <c r="O9" s="10"/>
      <c r="P9" s="10"/>
      <c r="XFC9" s="119">
        <v>45843</v>
      </c>
      <c r="XFD9" s="113">
        <v>45816</v>
      </c>
    </row>
    <row r="10" spans="1:16 16383:16384" ht="15.75" customHeight="1" x14ac:dyDescent="0.2">
      <c r="A10" s="109" t="s">
        <v>669</v>
      </c>
      <c r="B10" s="24">
        <v>6535</v>
      </c>
      <c r="F10" s="56"/>
      <c r="H10" s="3"/>
      <c r="O10" s="10"/>
      <c r="P10" s="10"/>
      <c r="XFC10" s="119">
        <v>45844</v>
      </c>
      <c r="XFD10" s="113">
        <v>45817</v>
      </c>
    </row>
    <row r="11" spans="1:16 16383:16384" ht="15.75" customHeight="1" x14ac:dyDescent="0.2">
      <c r="A11" s="109" t="s">
        <v>670</v>
      </c>
      <c r="B11" s="24">
        <v>4904</v>
      </c>
      <c r="F11" s="56"/>
      <c r="H11" s="3"/>
      <c r="O11" s="10"/>
      <c r="P11" s="10"/>
      <c r="XFC11" s="119">
        <v>45845</v>
      </c>
      <c r="XFD11" s="113">
        <v>45818</v>
      </c>
    </row>
    <row r="12" spans="1:16 16383:16384" ht="15.75" customHeight="1" x14ac:dyDescent="0.2">
      <c r="A12" s="91" t="s">
        <v>649</v>
      </c>
      <c r="B12" s="111">
        <v>0.1188982402448355</v>
      </c>
      <c r="C12" s="41">
        <v>0.3</v>
      </c>
      <c r="D12" s="152"/>
      <c r="E12" s="152"/>
      <c r="F12" s="56"/>
      <c r="H12" s="3"/>
      <c r="O12" s="10"/>
      <c r="P12" s="10"/>
      <c r="XFC12" s="119">
        <v>45846</v>
      </c>
      <c r="XFD12" s="113">
        <v>45819</v>
      </c>
    </row>
    <row r="13" spans="1:16 16383:16384" ht="15.75" customHeight="1" x14ac:dyDescent="0.2">
      <c r="A13" s="10" t="s">
        <v>106</v>
      </c>
      <c r="B13" s="99">
        <v>4667</v>
      </c>
      <c r="D13" s="82"/>
      <c r="F13" s="56"/>
      <c r="H13" s="3"/>
      <c r="O13" s="10"/>
      <c r="P13" s="10"/>
      <c r="XFC13" s="119">
        <v>45847</v>
      </c>
      <c r="XFD13" s="113">
        <v>45820</v>
      </c>
    </row>
    <row r="14" spans="1:16 16383:16384" ht="15.75" customHeight="1" x14ac:dyDescent="0.2">
      <c r="A14" s="10" t="s">
        <v>107</v>
      </c>
      <c r="B14" s="99">
        <v>300</v>
      </c>
      <c r="C14" s="91"/>
      <c r="D14" s="82"/>
      <c r="F14" s="56"/>
      <c r="H14" s="3"/>
      <c r="O14" s="10"/>
      <c r="P14" s="10"/>
      <c r="XFC14" s="119">
        <v>45848</v>
      </c>
      <c r="XFD14" s="113">
        <v>45821</v>
      </c>
    </row>
    <row r="15" spans="1:16 16383:16384" ht="15.75" customHeight="1" x14ac:dyDescent="0.2">
      <c r="A15" s="91" t="s">
        <v>108</v>
      </c>
      <c r="B15" s="82">
        <v>1387</v>
      </c>
      <c r="C15" s="91"/>
      <c r="D15" s="82"/>
      <c r="F15" s="56"/>
      <c r="H15" s="3"/>
      <c r="O15" s="10"/>
      <c r="P15" s="10"/>
      <c r="XFC15" s="119">
        <v>45849</v>
      </c>
      <c r="XFD15" s="113">
        <v>45822</v>
      </c>
    </row>
    <row r="16" spans="1:16 16383:16384" ht="15.75" customHeight="1" x14ac:dyDescent="0.2">
      <c r="B16" s="82"/>
      <c r="C16" s="91"/>
      <c r="D16" s="121"/>
      <c r="F16" s="56"/>
      <c r="H16" s="3"/>
      <c r="O16" s="10"/>
      <c r="P16" s="10"/>
      <c r="XFC16" s="119">
        <v>45850</v>
      </c>
      <c r="XFD16" s="113">
        <v>45823</v>
      </c>
    </row>
    <row r="17" spans="1:20 16383:16384" ht="15.75" customHeight="1" x14ac:dyDescent="0.2">
      <c r="A17" s="151" t="s">
        <v>44</v>
      </c>
      <c r="B17" s="151"/>
      <c r="C17" s="151"/>
      <c r="D17" s="82"/>
      <c r="F17" s="56"/>
      <c r="H17" s="3"/>
      <c r="O17" s="10"/>
      <c r="P17" s="10"/>
      <c r="XFC17" s="119">
        <v>45851</v>
      </c>
      <c r="XFD17" s="113">
        <v>45824</v>
      </c>
    </row>
    <row r="18" spans="1:20 16383:16384" ht="15.75" customHeight="1" x14ac:dyDescent="0.2">
      <c r="A18" s="91" t="s">
        <v>650</v>
      </c>
      <c r="B18" s="108">
        <v>0.9</v>
      </c>
      <c r="C18" s="110">
        <v>1</v>
      </c>
      <c r="D18" s="153"/>
      <c r="E18" s="154"/>
      <c r="F18" s="56"/>
      <c r="H18" s="3"/>
      <c r="O18" s="10"/>
      <c r="P18" s="10"/>
      <c r="XFC18" s="119">
        <v>45852</v>
      </c>
      <c r="XFD18" s="113">
        <v>45825</v>
      </c>
    </row>
    <row r="19" spans="1:20 16383:16384" ht="15.75" customHeight="1" x14ac:dyDescent="0.2">
      <c r="A19" s="91" t="s">
        <v>651</v>
      </c>
      <c r="B19" s="108">
        <v>0</v>
      </c>
      <c r="C19" s="110">
        <v>0</v>
      </c>
      <c r="D19" s="153"/>
      <c r="E19" s="154"/>
      <c r="F19" s="56"/>
      <c r="H19" s="3"/>
      <c r="O19" s="10"/>
      <c r="P19" s="10"/>
      <c r="XFC19" s="119">
        <v>45853</v>
      </c>
      <c r="XFD19" s="113">
        <v>45826</v>
      </c>
    </row>
    <row r="20" spans="1:20 16383:16384" ht="15.75" customHeight="1" x14ac:dyDescent="0.2">
      <c r="A20" s="91" t="s">
        <v>652</v>
      </c>
      <c r="B20" s="108">
        <v>0.9</v>
      </c>
      <c r="C20" s="110">
        <v>0.8</v>
      </c>
      <c r="D20" s="158" t="s">
        <v>671</v>
      </c>
      <c r="E20" s="154"/>
      <c r="F20" s="56"/>
      <c r="H20" s="3"/>
      <c r="O20" s="10"/>
      <c r="P20" s="10"/>
      <c r="XFC20" s="119">
        <v>45854</v>
      </c>
      <c r="XFD20" s="113">
        <v>45827</v>
      </c>
    </row>
    <row r="21" spans="1:20 16383:16384" ht="15.75" customHeight="1" x14ac:dyDescent="0.2">
      <c r="A21" s="10" t="s">
        <v>653</v>
      </c>
      <c r="B21" s="99">
        <v>7</v>
      </c>
      <c r="C21" s="10">
        <v>10</v>
      </c>
      <c r="D21" s="153"/>
      <c r="E21" s="154"/>
      <c r="F21" s="56"/>
      <c r="H21" s="3"/>
      <c r="O21" s="10"/>
      <c r="P21" s="10"/>
      <c r="XFC21" s="119">
        <v>45855</v>
      </c>
      <c r="XFD21" s="113">
        <v>45828</v>
      </c>
    </row>
    <row r="22" spans="1:20 16383:16384" ht="15.75" customHeight="1" x14ac:dyDescent="0.2">
      <c r="A22" s="91" t="s">
        <v>654</v>
      </c>
      <c r="B22" s="108">
        <v>0.1</v>
      </c>
      <c r="C22" s="110">
        <v>0.15</v>
      </c>
      <c r="D22" s="153"/>
      <c r="E22" s="154"/>
      <c r="F22" s="56"/>
      <c r="H22" s="3"/>
      <c r="O22" s="10"/>
      <c r="P22" s="10"/>
      <c r="XFC22" s="119">
        <v>45856</v>
      </c>
      <c r="XFD22" s="113">
        <v>45829</v>
      </c>
    </row>
    <row r="23" spans="1:20 16383:16384" ht="15.75" customHeight="1" x14ac:dyDescent="0.2">
      <c r="A23" s="10" t="s">
        <v>655</v>
      </c>
      <c r="B23" s="99">
        <v>9</v>
      </c>
      <c r="C23" s="10">
        <v>7</v>
      </c>
      <c r="D23" s="158" t="s">
        <v>672</v>
      </c>
      <c r="E23" s="154"/>
      <c r="F23" s="56"/>
      <c r="H23" s="3"/>
      <c r="O23" s="10"/>
      <c r="P23" s="10"/>
      <c r="XFC23" s="119">
        <v>45857</v>
      </c>
      <c r="XFD23" s="113">
        <v>45830</v>
      </c>
    </row>
    <row r="24" spans="1:20 16383:16384" ht="15.75" customHeight="1" x14ac:dyDescent="0.2">
      <c r="A24" s="91" t="s">
        <v>656</v>
      </c>
      <c r="B24" s="108">
        <v>0</v>
      </c>
      <c r="C24" s="110">
        <v>0.05</v>
      </c>
      <c r="D24" s="153"/>
      <c r="E24" s="154"/>
      <c r="F24" s="56"/>
      <c r="H24" s="3"/>
      <c r="O24" s="10"/>
      <c r="P24" s="10"/>
      <c r="XFC24" s="119">
        <v>45858</v>
      </c>
      <c r="XFD24" s="113">
        <v>45831</v>
      </c>
    </row>
    <row r="25" spans="1:20 16383:16384" ht="15.75" customHeight="1" x14ac:dyDescent="0.2">
      <c r="A25" s="10" t="s">
        <v>657</v>
      </c>
      <c r="B25" s="99">
        <v>1</v>
      </c>
      <c r="C25" s="10">
        <v>3</v>
      </c>
      <c r="D25" s="153"/>
      <c r="E25" s="154"/>
      <c r="F25" s="56"/>
      <c r="H25" s="3"/>
      <c r="O25" s="10"/>
      <c r="P25" s="10"/>
      <c r="XFC25" s="119">
        <v>45859</v>
      </c>
      <c r="XFD25" s="113">
        <v>45832</v>
      </c>
    </row>
    <row r="26" spans="1:20 16383:16384" ht="15.75" customHeight="1" x14ac:dyDescent="0.2">
      <c r="A26" s="10"/>
      <c r="B26" s="99"/>
      <c r="C26" s="91"/>
      <c r="D26" s="82"/>
      <c r="E26" s="82"/>
      <c r="F26" s="56"/>
      <c r="H26" s="3"/>
      <c r="O26" s="10"/>
      <c r="P26" s="10"/>
      <c r="XFC26" s="119">
        <v>45860</v>
      </c>
      <c r="XFD26" s="113"/>
    </row>
    <row r="27" spans="1:20 16383:16384" ht="15.75" customHeight="1" x14ac:dyDescent="0.2">
      <c r="A27" s="10"/>
      <c r="B27" s="99"/>
      <c r="C27" s="91"/>
      <c r="D27" s="82"/>
      <c r="E27" s="82"/>
      <c r="F27" s="56"/>
      <c r="H27" s="3"/>
      <c r="O27" s="10"/>
      <c r="P27" s="10"/>
      <c r="XFC27" s="119">
        <v>45861</v>
      </c>
      <c r="XFD27" s="113"/>
    </row>
    <row r="28" spans="1:20 16383:16384" ht="15.75" customHeight="1" x14ac:dyDescent="0.2">
      <c r="A28" s="122" t="s">
        <v>674</v>
      </c>
      <c r="B28" s="99"/>
      <c r="C28" s="91"/>
      <c r="D28" s="82"/>
      <c r="E28" s="82"/>
      <c r="F28" s="56"/>
      <c r="H28" s="3"/>
      <c r="O28" s="10"/>
      <c r="P28" s="10"/>
      <c r="XFC28" s="119">
        <v>45862</v>
      </c>
      <c r="XFD28" s="113"/>
    </row>
    <row r="29" spans="1:20 16383:16384" ht="15.75" customHeight="1" x14ac:dyDescent="0.2">
      <c r="A29" s="151" t="s">
        <v>126</v>
      </c>
      <c r="B29" s="151"/>
      <c r="C29" s="151"/>
      <c r="D29" s="82"/>
      <c r="E29" s="82"/>
      <c r="F29" s="56"/>
      <c r="H29" s="3"/>
      <c r="O29" s="10"/>
      <c r="P29" s="10"/>
      <c r="XFC29" s="119">
        <v>45863</v>
      </c>
      <c r="XFD29" s="113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1" t="s">
        <v>124</v>
      </c>
      <c r="F30" s="11" t="s">
        <v>125</v>
      </c>
      <c r="G30" s="11" t="s">
        <v>715</v>
      </c>
      <c r="H30" s="11" t="s">
        <v>127</v>
      </c>
      <c r="I30" s="11" t="s">
        <v>128</v>
      </c>
      <c r="J30" s="11" t="s">
        <v>129</v>
      </c>
      <c r="K30" s="11" t="s">
        <v>130</v>
      </c>
      <c r="L30" s="11" t="s">
        <v>133</v>
      </c>
      <c r="M30" s="11" t="s">
        <v>132</v>
      </c>
      <c r="N30" s="11" t="s">
        <v>668</v>
      </c>
      <c r="O30" s="11" t="s">
        <v>134</v>
      </c>
      <c r="P30" s="11" t="s">
        <v>136</v>
      </c>
      <c r="Q30" s="34" t="s">
        <v>135</v>
      </c>
      <c r="R30" s="34" t="s">
        <v>709</v>
      </c>
      <c r="S30" s="34" t="s">
        <v>710</v>
      </c>
      <c r="XFC30" s="119">
        <v>45864</v>
      </c>
      <c r="XFD30" s="113">
        <v>45834</v>
      </c>
    </row>
    <row r="31" spans="1:20 16383:16384" ht="15.75" customHeight="1" x14ac:dyDescent="0.2">
      <c r="A31" s="80" t="s">
        <v>155</v>
      </c>
      <c r="B31" s="80" t="s">
        <v>34</v>
      </c>
      <c r="C31" s="142">
        <v>45383</v>
      </c>
      <c r="D31" s="143"/>
      <c r="E31" s="176">
        <v>0.65500000000000003</v>
      </c>
      <c r="F31" s="165">
        <v>1888</v>
      </c>
      <c r="G31" s="144">
        <v>2881.33</v>
      </c>
      <c r="H31" s="139">
        <v>4013.09</v>
      </c>
      <c r="I31" s="176">
        <v>0</v>
      </c>
      <c r="J31" s="135">
        <v>0</v>
      </c>
      <c r="K31" s="123"/>
      <c r="L31" s="181">
        <v>0.65500000000000003</v>
      </c>
      <c r="M31" s="145">
        <v>2629</v>
      </c>
      <c r="N31" s="146">
        <v>0.45689804068525924</v>
      </c>
      <c r="O31" s="133">
        <v>741</v>
      </c>
      <c r="P31" s="134">
        <v>0.39279268082299423</v>
      </c>
      <c r="Q31" s="78" t="s">
        <v>60</v>
      </c>
      <c r="T31" s="56"/>
      <c r="XFC31" s="119">
        <v>45865</v>
      </c>
      <c r="XFD31" s="113">
        <v>45835</v>
      </c>
    </row>
    <row r="32" spans="1:20 16383:16384" ht="15.75" customHeight="1" x14ac:dyDescent="0.2">
      <c r="A32" s="77" t="s">
        <v>155</v>
      </c>
      <c r="B32" s="161" t="s">
        <v>35</v>
      </c>
      <c r="C32" s="163">
        <v>45870</v>
      </c>
      <c r="D32" s="163"/>
      <c r="E32" s="177">
        <v>4.4459999999999997</v>
      </c>
      <c r="F32" s="186">
        <v>758</v>
      </c>
      <c r="G32" s="167">
        <v>170.44</v>
      </c>
      <c r="H32" s="195">
        <v>201.74</v>
      </c>
      <c r="I32" s="179">
        <v>0</v>
      </c>
      <c r="J32" s="168">
        <v>0</v>
      </c>
      <c r="K32" s="167"/>
      <c r="L32" s="185">
        <v>4.4459999999999997</v>
      </c>
      <c r="M32" s="169">
        <v>897</v>
      </c>
      <c r="N32" s="171">
        <v>0.15589103936655668</v>
      </c>
      <c r="O32" s="138">
        <v>139</v>
      </c>
      <c r="P32" s="134">
        <v>0.18366984419294297</v>
      </c>
      <c r="Q32" s="78" t="s">
        <v>60</v>
      </c>
      <c r="T32" s="56"/>
      <c r="XFC32" s="119">
        <v>45866</v>
      </c>
      <c r="XFD32" s="113">
        <v>45836</v>
      </c>
    </row>
    <row r="33" spans="1:20 16383:16384" ht="15" customHeight="1" x14ac:dyDescent="0.2">
      <c r="A33" s="182" t="s">
        <v>155</v>
      </c>
      <c r="B33" s="160" t="s">
        <v>78</v>
      </c>
      <c r="C33" s="187">
        <v>45870</v>
      </c>
      <c r="D33" s="187"/>
      <c r="E33" s="178">
        <v>0.58599999999999997</v>
      </c>
      <c r="F33" s="164">
        <v>444</v>
      </c>
      <c r="G33" s="184">
        <v>757.8</v>
      </c>
      <c r="H33" s="184">
        <v>972.81</v>
      </c>
      <c r="I33" s="188">
        <v>0</v>
      </c>
      <c r="J33" s="164">
        <v>0</v>
      </c>
      <c r="K33" s="184"/>
      <c r="L33" s="188">
        <v>0.58599999999999997</v>
      </c>
      <c r="M33" s="164">
        <v>570</v>
      </c>
      <c r="N33" s="189">
        <v>9.9061195584099565E-2</v>
      </c>
      <c r="O33" s="192">
        <v>126</v>
      </c>
      <c r="P33" s="193">
        <v>0.28372921615201885</v>
      </c>
      <c r="Q33" s="78" t="s">
        <v>60</v>
      </c>
      <c r="XFC33" s="119">
        <v>45867</v>
      </c>
      <c r="XFD33" s="113">
        <v>45837</v>
      </c>
    </row>
    <row r="34" spans="1:20 16383:16384" ht="15.75" customHeight="1" x14ac:dyDescent="0.2">
      <c r="A34" s="148" t="s">
        <v>155</v>
      </c>
      <c r="B34" s="148" t="s">
        <v>37</v>
      </c>
      <c r="C34" s="162">
        <v>45870</v>
      </c>
      <c r="D34" s="162"/>
      <c r="E34" s="176">
        <v>408.81</v>
      </c>
      <c r="F34" s="165">
        <v>292</v>
      </c>
      <c r="G34" s="139">
        <v>0.71</v>
      </c>
      <c r="H34" s="166">
        <v>0.77500000000000002</v>
      </c>
      <c r="I34" s="180">
        <v>0</v>
      </c>
      <c r="J34" s="165">
        <v>0</v>
      </c>
      <c r="K34" s="166"/>
      <c r="L34" s="180">
        <v>408.81</v>
      </c>
      <c r="M34" s="165">
        <v>317</v>
      </c>
      <c r="N34" s="170">
        <v>5.5091928070455376E-2</v>
      </c>
      <c r="O34" s="172">
        <v>25</v>
      </c>
      <c r="P34" s="174">
        <v>8.528217336507507E-2</v>
      </c>
      <c r="Q34" s="78" t="s">
        <v>60</v>
      </c>
      <c r="XFC34" s="119">
        <v>45868</v>
      </c>
      <c r="XFD34" s="113">
        <v>45838</v>
      </c>
    </row>
    <row r="35" spans="1:20 16383:16384" ht="15.75" customHeight="1" x14ac:dyDescent="0.2">
      <c r="A35" s="80" t="s">
        <v>155</v>
      </c>
      <c r="B35" s="80" t="s">
        <v>149</v>
      </c>
      <c r="C35" s="162">
        <v>45909</v>
      </c>
      <c r="D35" s="162"/>
      <c r="E35" s="176">
        <v>193.87</v>
      </c>
      <c r="F35" s="165">
        <v>300</v>
      </c>
      <c r="G35" s="139">
        <v>1.55</v>
      </c>
      <c r="H35" s="166">
        <v>1.7512000000000001</v>
      </c>
      <c r="I35" s="180">
        <v>112</v>
      </c>
      <c r="J35" s="165">
        <v>185</v>
      </c>
      <c r="K35" s="166">
        <v>1.65</v>
      </c>
      <c r="L35" s="180">
        <v>81.87</v>
      </c>
      <c r="M35" s="165">
        <v>143</v>
      </c>
      <c r="N35" s="170">
        <v>2.485219468162498E-2</v>
      </c>
      <c r="O35" s="172">
        <v>28</v>
      </c>
      <c r="P35" s="174">
        <v>9.3534909595640162E-2</v>
      </c>
      <c r="Q35" s="78" t="s">
        <v>137</v>
      </c>
      <c r="T35" s="56"/>
      <c r="XFC35" s="119">
        <v>45869</v>
      </c>
      <c r="XFD35" s="113">
        <v>45839</v>
      </c>
    </row>
    <row r="36" spans="1:20 16383:16384" ht="15.75" customHeight="1" x14ac:dyDescent="0.2">
      <c r="A36" s="80" t="s">
        <v>155</v>
      </c>
      <c r="B36" s="80" t="s">
        <v>77</v>
      </c>
      <c r="C36" s="162">
        <v>45870</v>
      </c>
      <c r="D36" s="162"/>
      <c r="E36" s="176">
        <v>93.75</v>
      </c>
      <c r="F36" s="165">
        <v>90</v>
      </c>
      <c r="G36" s="139">
        <v>0.96</v>
      </c>
      <c r="H36" s="166">
        <v>1.2609999999999999</v>
      </c>
      <c r="I36" s="180">
        <v>0</v>
      </c>
      <c r="J36" s="165">
        <v>0</v>
      </c>
      <c r="K36" s="166"/>
      <c r="L36" s="180">
        <v>93.75</v>
      </c>
      <c r="M36" s="165">
        <v>118</v>
      </c>
      <c r="N36" s="170">
        <v>2.0507405401620611E-2</v>
      </c>
      <c r="O36" s="172">
        <v>28</v>
      </c>
      <c r="P36" s="174">
        <v>0.30809128630705379</v>
      </c>
      <c r="Q36" s="78" t="s">
        <v>66</v>
      </c>
      <c r="XFC36" s="119">
        <v>45870</v>
      </c>
      <c r="XFD36" s="113">
        <v>45840</v>
      </c>
    </row>
    <row r="37" spans="1:20 16383:16384" ht="15.75" customHeight="1" x14ac:dyDescent="0.2">
      <c r="A37" s="80" t="s">
        <v>155</v>
      </c>
      <c r="B37" s="80" t="s">
        <v>150</v>
      </c>
      <c r="C37" s="162">
        <v>45909</v>
      </c>
      <c r="D37" s="162"/>
      <c r="E37" s="176">
        <v>1.97</v>
      </c>
      <c r="F37" s="165">
        <v>100</v>
      </c>
      <c r="G37" s="139">
        <v>50.74</v>
      </c>
      <c r="H37" s="166">
        <v>45.26</v>
      </c>
      <c r="I37" s="176">
        <v>0</v>
      </c>
      <c r="J37" s="135">
        <v>0</v>
      </c>
      <c r="K37" s="123"/>
      <c r="L37" s="180">
        <v>1.97</v>
      </c>
      <c r="M37" s="165">
        <v>89</v>
      </c>
      <c r="N37" s="170">
        <v>1.5467449836815547E-2</v>
      </c>
      <c r="O37" s="173">
        <v>-11</v>
      </c>
      <c r="P37" s="175">
        <v>-0.10800157666535284</v>
      </c>
      <c r="Q37" s="78" t="s">
        <v>137</v>
      </c>
      <c r="XFC37" s="119">
        <v>45871</v>
      </c>
      <c r="XFD37" s="113">
        <v>45841</v>
      </c>
    </row>
    <row r="38" spans="1:20 16383:16384" ht="15.75" customHeight="1" x14ac:dyDescent="0.2">
      <c r="A38" s="80" t="s">
        <v>155</v>
      </c>
      <c r="B38" s="80" t="s">
        <v>99</v>
      </c>
      <c r="C38" s="162">
        <v>45870</v>
      </c>
      <c r="D38" s="162"/>
      <c r="E38" s="176">
        <v>25.1</v>
      </c>
      <c r="F38" s="165">
        <v>87</v>
      </c>
      <c r="G38" s="139">
        <v>3.45</v>
      </c>
      <c r="H38" s="166">
        <v>3.1456</v>
      </c>
      <c r="I38" s="180">
        <v>0</v>
      </c>
      <c r="J38" s="165">
        <v>0</v>
      </c>
      <c r="K38" s="166"/>
      <c r="L38" s="180">
        <v>25.1</v>
      </c>
      <c r="M38" s="165">
        <v>79</v>
      </c>
      <c r="N38" s="170">
        <v>1.37295341248138E-2</v>
      </c>
      <c r="O38" s="173">
        <v>-8</v>
      </c>
      <c r="P38" s="175">
        <v>-8.8231884057971138E-2</v>
      </c>
      <c r="Q38" s="78" t="s">
        <v>60</v>
      </c>
      <c r="XFC38" s="119">
        <v>45872</v>
      </c>
      <c r="XFD38" s="113">
        <v>45842</v>
      </c>
    </row>
    <row r="39" spans="1:20 16383:16384" ht="15.75" customHeight="1" x14ac:dyDescent="0.2">
      <c r="A39" s="80" t="s">
        <v>155</v>
      </c>
      <c r="B39" s="80" t="s">
        <v>109</v>
      </c>
      <c r="C39" s="162">
        <v>45870</v>
      </c>
      <c r="D39" s="162"/>
      <c r="E39" s="176">
        <v>76.02</v>
      </c>
      <c r="F39" s="165">
        <v>68</v>
      </c>
      <c r="G39" s="139">
        <v>0.89</v>
      </c>
      <c r="H39" s="166">
        <v>0.87929999999999997</v>
      </c>
      <c r="I39" s="180">
        <v>0</v>
      </c>
      <c r="J39" s="165">
        <v>0</v>
      </c>
      <c r="K39" s="166"/>
      <c r="L39" s="180">
        <v>76.02</v>
      </c>
      <c r="M39" s="165">
        <v>67</v>
      </c>
      <c r="N39" s="170">
        <v>1.1644035270411704E-2</v>
      </c>
      <c r="O39" s="173">
        <v>-1</v>
      </c>
      <c r="P39" s="175">
        <v>-1.1911450724800585E-2</v>
      </c>
      <c r="Q39" s="78" t="s">
        <v>66</v>
      </c>
      <c r="XFC39" s="119">
        <v>45873</v>
      </c>
      <c r="XFD39" s="113">
        <v>45843</v>
      </c>
    </row>
    <row r="40" spans="1:20 16383:16384" ht="15.75" customHeight="1" x14ac:dyDescent="0.2">
      <c r="A40" s="14" t="s">
        <v>155</v>
      </c>
      <c r="B40" s="80" t="s">
        <v>88</v>
      </c>
      <c r="C40" s="187">
        <v>45870</v>
      </c>
      <c r="D40" s="187"/>
      <c r="E40" s="178">
        <v>2.5</v>
      </c>
      <c r="F40" s="164">
        <v>40</v>
      </c>
      <c r="G40" s="137">
        <v>16.07</v>
      </c>
      <c r="H40" s="184">
        <v>20.79</v>
      </c>
      <c r="I40" s="188">
        <v>0</v>
      </c>
      <c r="J40" s="164">
        <v>0</v>
      </c>
      <c r="K40" s="184"/>
      <c r="L40" s="188">
        <v>2.5</v>
      </c>
      <c r="M40" s="164">
        <v>52</v>
      </c>
      <c r="N40" s="189">
        <v>9.0371617024090842E-3</v>
      </c>
      <c r="O40" s="192">
        <v>12</v>
      </c>
      <c r="P40" s="193">
        <v>0.29371499688861225</v>
      </c>
      <c r="Q40" s="78" t="s">
        <v>66</v>
      </c>
      <c r="XFC40" s="119">
        <v>45874</v>
      </c>
      <c r="XFD40" s="113">
        <v>45844</v>
      </c>
    </row>
    <row r="41" spans="1:20 16383:16384" ht="15.75" customHeight="1" x14ac:dyDescent="0.2">
      <c r="A41" s="14" t="s">
        <v>155</v>
      </c>
      <c r="B41" s="80" t="s">
        <v>83</v>
      </c>
      <c r="C41" s="187">
        <v>45870</v>
      </c>
      <c r="D41" s="187"/>
      <c r="E41" s="178">
        <v>2059</v>
      </c>
      <c r="F41" s="164">
        <v>47</v>
      </c>
      <c r="G41" s="137">
        <v>0.02</v>
      </c>
      <c r="H41" s="184">
        <v>2.162E-2</v>
      </c>
      <c r="I41" s="188">
        <v>0</v>
      </c>
      <c r="J41" s="164">
        <v>0</v>
      </c>
      <c r="K41" s="184"/>
      <c r="L41" s="188">
        <v>2059</v>
      </c>
      <c r="M41" s="164">
        <v>45</v>
      </c>
      <c r="N41" s="189">
        <v>7.820620704007861E-3</v>
      </c>
      <c r="O41" s="190">
        <v>-2</v>
      </c>
      <c r="P41" s="191">
        <v>-4.3362831858407086E-2</v>
      </c>
      <c r="Q41" s="78" t="s">
        <v>60</v>
      </c>
      <c r="S41" s="23"/>
      <c r="XFC41" s="119">
        <v>45875</v>
      </c>
      <c r="XFD41" s="113">
        <v>45845</v>
      </c>
    </row>
    <row r="42" spans="1:20 16383:16384" ht="15.75" customHeight="1" x14ac:dyDescent="0.2">
      <c r="A42" s="77" t="s">
        <v>155</v>
      </c>
      <c r="B42" s="77" t="s">
        <v>81</v>
      </c>
      <c r="C42" s="183">
        <v>45870</v>
      </c>
      <c r="D42" s="194"/>
      <c r="E42" s="176">
        <v>146.86000000000001</v>
      </c>
      <c r="F42" s="145">
        <v>35</v>
      </c>
      <c r="G42" s="140">
        <v>0.24</v>
      </c>
      <c r="H42" s="166">
        <v>0.20319999999999999</v>
      </c>
      <c r="I42" s="176">
        <v>0</v>
      </c>
      <c r="J42" s="135">
        <v>0</v>
      </c>
      <c r="K42" s="123"/>
      <c r="L42" s="180">
        <v>146.86000000000001</v>
      </c>
      <c r="M42" s="165">
        <v>30</v>
      </c>
      <c r="N42" s="170">
        <v>5.2137471360052404E-3</v>
      </c>
      <c r="O42" s="173">
        <v>-5</v>
      </c>
      <c r="P42" s="175">
        <v>-0.13934773401101233</v>
      </c>
      <c r="Q42" s="78" t="s">
        <v>60</v>
      </c>
      <c r="XFC42" s="119">
        <v>45876</v>
      </c>
      <c r="XFD42" s="113">
        <v>45846</v>
      </c>
    </row>
    <row r="43" spans="1:20 16383:16384" ht="15.75" customHeight="1" x14ac:dyDescent="0.2">
      <c r="A43" s="80" t="s">
        <v>155</v>
      </c>
      <c r="B43" s="81" t="s">
        <v>86</v>
      </c>
      <c r="C43" s="162">
        <v>45870</v>
      </c>
      <c r="D43" s="162"/>
      <c r="E43" s="176">
        <v>3.8220000000000001</v>
      </c>
      <c r="F43" s="145">
        <v>35</v>
      </c>
      <c r="G43" s="139">
        <v>9.0399999999999991</v>
      </c>
      <c r="H43" s="166">
        <v>7.5469999999999997</v>
      </c>
      <c r="I43" s="180">
        <v>0</v>
      </c>
      <c r="J43" s="165">
        <v>0</v>
      </c>
      <c r="K43" s="166"/>
      <c r="L43" s="180">
        <v>3.8220000000000001</v>
      </c>
      <c r="M43" s="165">
        <v>29</v>
      </c>
      <c r="N43" s="170">
        <v>5.039955564805066E-3</v>
      </c>
      <c r="O43" s="173">
        <v>-6</v>
      </c>
      <c r="P43" s="175">
        <v>-0.16487772490870869</v>
      </c>
      <c r="Q43" s="78" t="s">
        <v>66</v>
      </c>
      <c r="XFC43" s="119">
        <v>45877</v>
      </c>
      <c r="XFD43" s="113">
        <v>45847</v>
      </c>
    </row>
    <row r="44" spans="1:20 16383:16384" ht="15.75" customHeight="1" x14ac:dyDescent="0.2">
      <c r="A44" s="14" t="s">
        <v>155</v>
      </c>
      <c r="B44" s="81" t="s">
        <v>41</v>
      </c>
      <c r="C44" s="187">
        <v>45913</v>
      </c>
      <c r="D44" s="187"/>
      <c r="E44" s="178">
        <v>69.8</v>
      </c>
      <c r="F44" s="164">
        <v>38</v>
      </c>
      <c r="G44" s="184">
        <v>0.54</v>
      </c>
      <c r="H44" s="184">
        <v>0.41930000000000001</v>
      </c>
      <c r="I44" s="188">
        <v>0</v>
      </c>
      <c r="J44" s="164">
        <v>0</v>
      </c>
      <c r="K44" s="184"/>
      <c r="L44" s="188">
        <v>69.8</v>
      </c>
      <c r="M44" s="164">
        <v>29</v>
      </c>
      <c r="N44" s="189">
        <v>5.039955564805066E-3</v>
      </c>
      <c r="O44" s="190">
        <v>-8</v>
      </c>
      <c r="P44" s="191">
        <v>-0.22351851851851859</v>
      </c>
      <c r="Q44" s="78" t="s">
        <v>60</v>
      </c>
      <c r="XFC44" s="119">
        <v>45878</v>
      </c>
      <c r="XFD44" s="113">
        <v>45848</v>
      </c>
    </row>
    <row r="45" spans="1:20 16383:16384" ht="15.75" customHeight="1" x14ac:dyDescent="0.2">
      <c r="A45" s="80" t="s">
        <v>155</v>
      </c>
      <c r="B45" s="81" t="s">
        <v>87</v>
      </c>
      <c r="C45" s="162">
        <v>45870</v>
      </c>
      <c r="D45" s="162"/>
      <c r="E45" s="176">
        <v>2.3740000000000001</v>
      </c>
      <c r="F45" s="165">
        <v>30</v>
      </c>
      <c r="G45" s="166">
        <v>12.55</v>
      </c>
      <c r="H45" s="166">
        <v>11.68</v>
      </c>
      <c r="I45" s="180">
        <v>0</v>
      </c>
      <c r="J45" s="165">
        <v>0</v>
      </c>
      <c r="K45" s="166"/>
      <c r="L45" s="180">
        <v>2.3740000000000001</v>
      </c>
      <c r="M45" s="165">
        <v>28</v>
      </c>
      <c r="N45" s="170">
        <v>4.8661639936048908E-3</v>
      </c>
      <c r="O45" s="173">
        <v>-2</v>
      </c>
      <c r="P45" s="175">
        <v>-6.9322709163346763E-2</v>
      </c>
      <c r="Q45" s="78" t="s">
        <v>66</v>
      </c>
      <c r="XFC45" s="119">
        <v>45879</v>
      </c>
      <c r="XFD45" s="113">
        <v>45849</v>
      </c>
    </row>
    <row r="46" spans="1:20 16383:16384" ht="15.75" customHeight="1" x14ac:dyDescent="0.2">
      <c r="A46" s="14" t="s">
        <v>155</v>
      </c>
      <c r="B46" s="81" t="s">
        <v>80</v>
      </c>
      <c r="C46" s="187">
        <v>45870</v>
      </c>
      <c r="D46" s="187"/>
      <c r="E46" s="178">
        <v>9.89</v>
      </c>
      <c r="F46" s="164">
        <v>24</v>
      </c>
      <c r="G46" s="184">
        <v>2.41</v>
      </c>
      <c r="H46" s="184">
        <v>2.6890000000000001</v>
      </c>
      <c r="I46" s="178">
        <v>0</v>
      </c>
      <c r="J46" s="99">
        <v>0</v>
      </c>
      <c r="K46" s="141"/>
      <c r="L46" s="188">
        <v>9.89</v>
      </c>
      <c r="M46" s="164">
        <v>27</v>
      </c>
      <c r="N46" s="189">
        <v>4.6923724224047164E-3</v>
      </c>
      <c r="O46" s="192">
        <v>3</v>
      </c>
      <c r="P46" s="193">
        <v>0.11391880695940337</v>
      </c>
      <c r="Q46" s="78" t="s">
        <v>60</v>
      </c>
      <c r="XFC46" s="119">
        <v>45880</v>
      </c>
      <c r="XFD46" s="113">
        <v>45850</v>
      </c>
    </row>
    <row r="47" spans="1:20 16383:16384" ht="15.75" customHeight="1" x14ac:dyDescent="0.2">
      <c r="A47" s="14" t="s">
        <v>155</v>
      </c>
      <c r="B47" s="81" t="s">
        <v>85</v>
      </c>
      <c r="C47" s="187">
        <v>45870</v>
      </c>
      <c r="D47" s="187"/>
      <c r="E47" s="178">
        <v>3.3</v>
      </c>
      <c r="F47" s="164">
        <v>23</v>
      </c>
      <c r="G47" s="184">
        <v>6.94</v>
      </c>
      <c r="H47" s="184">
        <v>5.63</v>
      </c>
      <c r="I47" s="178">
        <v>0</v>
      </c>
      <c r="J47" s="99">
        <v>0</v>
      </c>
      <c r="K47" s="141"/>
      <c r="L47" s="188">
        <v>3.3</v>
      </c>
      <c r="M47" s="164">
        <v>19</v>
      </c>
      <c r="N47" s="189">
        <v>3.302039852803319E-3</v>
      </c>
      <c r="O47" s="190">
        <v>-4</v>
      </c>
      <c r="P47" s="191">
        <v>-0.18876080691642669</v>
      </c>
      <c r="Q47" s="78" t="s">
        <v>66</v>
      </c>
      <c r="XFC47" s="119">
        <v>45881</v>
      </c>
      <c r="XFD47" s="113"/>
    </row>
    <row r="48" spans="1:20 16383:16384" ht="15.75" customHeight="1" x14ac:dyDescent="0.2">
      <c r="A48" s="80" t="s">
        <v>501</v>
      </c>
      <c r="B48" s="81" t="s">
        <v>48</v>
      </c>
      <c r="C48" s="162">
        <v>45396</v>
      </c>
      <c r="D48" s="162">
        <v>45750</v>
      </c>
      <c r="E48" s="176">
        <v>2.4E-2</v>
      </c>
      <c r="F48" s="165">
        <v>1404</v>
      </c>
      <c r="G48" s="166">
        <v>59220.88</v>
      </c>
      <c r="H48" s="166"/>
      <c r="I48" s="180">
        <v>2.4E-2</v>
      </c>
      <c r="J48" s="165">
        <v>2123</v>
      </c>
      <c r="K48" s="166">
        <v>89216.71</v>
      </c>
      <c r="L48" s="180">
        <v>0</v>
      </c>
      <c r="M48" s="165">
        <v>0</v>
      </c>
      <c r="N48" s="170"/>
      <c r="O48" s="172">
        <v>720</v>
      </c>
      <c r="P48" s="174">
        <v>0.51274918957125126</v>
      </c>
      <c r="Q48" s="78" t="s">
        <v>60</v>
      </c>
      <c r="XFC48" s="119">
        <v>45882</v>
      </c>
      <c r="XFD48" s="113"/>
    </row>
    <row r="49" spans="1:17 16383:16384" ht="15.75" customHeight="1" x14ac:dyDescent="0.2">
      <c r="A49" s="80" t="s">
        <v>501</v>
      </c>
      <c r="B49" s="81" t="s">
        <v>608</v>
      </c>
      <c r="C49" s="162">
        <v>45870</v>
      </c>
      <c r="D49" s="162">
        <v>45870</v>
      </c>
      <c r="E49" s="176">
        <v>387.7</v>
      </c>
      <c r="F49" s="165">
        <v>388</v>
      </c>
      <c r="G49" s="166">
        <v>1</v>
      </c>
      <c r="H49" s="166"/>
      <c r="I49" s="180">
        <v>387.7</v>
      </c>
      <c r="J49" s="165">
        <v>0</v>
      </c>
      <c r="K49" s="166">
        <v>0</v>
      </c>
      <c r="L49" s="180">
        <v>0</v>
      </c>
      <c r="M49" s="165">
        <v>0</v>
      </c>
      <c r="N49" s="170"/>
      <c r="O49" s="173">
        <v>-388</v>
      </c>
      <c r="P49" s="175">
        <v>-1</v>
      </c>
      <c r="Q49" s="78" t="s">
        <v>137</v>
      </c>
      <c r="XFC49" s="119">
        <v>45883</v>
      </c>
      <c r="XFD49" s="113"/>
    </row>
    <row r="50" spans="1:17 16383:16384" ht="15.75" customHeight="1" x14ac:dyDescent="0.2">
      <c r="C50" s="136"/>
      <c r="D50" s="136"/>
      <c r="F50" s="149"/>
      <c r="G50" s="70"/>
      <c r="H50" s="70"/>
      <c r="J50" s="149"/>
      <c r="K50" s="70"/>
      <c r="M50" s="149"/>
      <c r="N50" s="150"/>
      <c r="O50" s="99"/>
      <c r="P50" s="147"/>
      <c r="Q50" s="79"/>
      <c r="XFC50" s="119"/>
      <c r="XFD50" s="113"/>
    </row>
    <row r="51" spans="1:17 16383:16384" ht="15.75" customHeight="1" x14ac:dyDescent="0.2">
      <c r="F51" s="56"/>
      <c r="J51" s="56"/>
      <c r="M51" s="56"/>
      <c r="N51" s="56"/>
      <c r="Q51" s="79"/>
      <c r="XFC51" s="119">
        <v>45885</v>
      </c>
      <c r="XFD51" s="113"/>
    </row>
    <row r="52" spans="1:17 16383:16384" ht="15.75" customHeight="1" x14ac:dyDescent="0.2">
      <c r="F52" s="56"/>
      <c r="J52" s="56"/>
      <c r="M52" s="56"/>
      <c r="N52" s="56"/>
      <c r="XFC52" s="119">
        <v>45886</v>
      </c>
      <c r="XFD52" s="113"/>
    </row>
    <row r="53" spans="1:17 16383:16384" ht="15.75" customHeight="1" x14ac:dyDescent="0.2">
      <c r="C53" s="48"/>
      <c r="F53" s="63"/>
      <c r="J53" s="63"/>
      <c r="M53" s="63"/>
      <c r="N53" s="63"/>
      <c r="XFC53" s="119">
        <v>45887</v>
      </c>
      <c r="XFD53" s="113"/>
    </row>
    <row r="54" spans="1:17 16383:16384" ht="15.75" customHeight="1" x14ac:dyDescent="0.2">
      <c r="C54" s="48"/>
      <c r="F54" s="56"/>
      <c r="J54" s="62"/>
      <c r="M54" s="56"/>
      <c r="N54" s="56"/>
      <c r="XFC54" s="119">
        <v>45888</v>
      </c>
      <c r="XFD54" s="113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19">
        <v>45889</v>
      </c>
      <c r="XFD55" s="113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19">
        <v>45890</v>
      </c>
      <c r="XFD56" s="113">
        <v>45860</v>
      </c>
    </row>
    <row r="57" spans="1:17 16383:16384" ht="15.75" customHeight="1" x14ac:dyDescent="0.2">
      <c r="J57" s="62"/>
      <c r="M57" s="62"/>
      <c r="N57" s="62"/>
      <c r="XFC57" s="119">
        <v>45891</v>
      </c>
      <c r="XFD57" s="113">
        <v>45861</v>
      </c>
    </row>
    <row r="58" spans="1:17 16383:16384" ht="15.75" customHeight="1" x14ac:dyDescent="0.2">
      <c r="J58" s="62"/>
      <c r="M58" s="62"/>
      <c r="N58" s="62"/>
      <c r="XFC58" s="119">
        <v>45892</v>
      </c>
      <c r="XFD58" s="113">
        <v>45862</v>
      </c>
    </row>
    <row r="59" spans="1:17 16383:16384" ht="15.75" customHeight="1" x14ac:dyDescent="0.2">
      <c r="F59" s="56"/>
      <c r="J59" s="62"/>
      <c r="M59" s="62"/>
      <c r="N59" s="62"/>
      <c r="XFC59" s="119">
        <v>45893</v>
      </c>
      <c r="XFD59" s="113">
        <v>45863</v>
      </c>
    </row>
    <row r="60" spans="1:17 16383:16384" ht="15.75" customHeight="1" x14ac:dyDescent="0.2">
      <c r="F60" s="56"/>
      <c r="M60" s="62"/>
      <c r="N60" s="62"/>
      <c r="XFC60" s="119">
        <v>45894</v>
      </c>
      <c r="XFD60" s="113">
        <v>45864</v>
      </c>
    </row>
    <row r="61" spans="1:17 16383:16384" ht="15.75" customHeight="1" x14ac:dyDescent="0.2">
      <c r="M61" s="62"/>
      <c r="N61" s="62"/>
      <c r="XFC61" s="119">
        <v>45895</v>
      </c>
      <c r="XFD61" s="113">
        <v>45865</v>
      </c>
    </row>
    <row r="62" spans="1:17 16383:16384" ht="15.75" customHeight="1" x14ac:dyDescent="0.2">
      <c r="M62" s="62"/>
      <c r="N62" s="62"/>
      <c r="XFC62" s="119">
        <v>45896</v>
      </c>
      <c r="XFD62" s="113">
        <v>45866</v>
      </c>
    </row>
    <row r="63" spans="1:17 16383:16384" ht="15.75" customHeight="1" x14ac:dyDescent="0.2">
      <c r="M63" s="62"/>
      <c r="N63" s="62"/>
      <c r="XFC63" s="119">
        <v>45897</v>
      </c>
      <c r="XFD63" s="113">
        <v>45867</v>
      </c>
    </row>
    <row r="64" spans="1:17 16383:16384" ht="15.75" customHeight="1" x14ac:dyDescent="0.2">
      <c r="M64" s="62"/>
      <c r="N64" s="62"/>
      <c r="XFC64" s="119">
        <v>45898</v>
      </c>
      <c r="XFD64" s="113">
        <v>45868</v>
      </c>
    </row>
    <row r="65" spans="13:14 16383:16384" ht="15.75" customHeight="1" x14ac:dyDescent="0.2">
      <c r="M65" s="62"/>
      <c r="N65" s="62"/>
      <c r="XFC65" s="119">
        <v>45899</v>
      </c>
      <c r="XFD65" s="113">
        <v>45869</v>
      </c>
    </row>
    <row r="66" spans="13:14 16383:16384" ht="15.75" customHeight="1" x14ac:dyDescent="0.2">
      <c r="M66" s="62"/>
      <c r="N66" s="62"/>
      <c r="XFC66" s="119">
        <v>45900</v>
      </c>
      <c r="XFD66" s="113">
        <v>45870</v>
      </c>
    </row>
    <row r="67" spans="13:14 16383:16384" ht="15.75" customHeight="1" x14ac:dyDescent="0.2">
      <c r="M67" s="62"/>
      <c r="N67" s="62"/>
      <c r="XFC67" s="119">
        <v>45901</v>
      </c>
      <c r="XFD67" s="113">
        <v>45871</v>
      </c>
    </row>
    <row r="68" spans="13:14 16383:16384" ht="15.75" customHeight="1" x14ac:dyDescent="0.2">
      <c r="M68" s="62"/>
      <c r="N68" s="62"/>
      <c r="XFC68" s="119">
        <v>45902</v>
      </c>
      <c r="XFD68" s="113">
        <v>45872</v>
      </c>
    </row>
    <row r="69" spans="13:14 16383:16384" ht="15.75" customHeight="1" x14ac:dyDescent="0.2">
      <c r="XFC69" s="119">
        <v>45903</v>
      </c>
      <c r="XFD69" s="113">
        <v>45873</v>
      </c>
    </row>
    <row r="70" spans="13:14 16383:16384" ht="15.75" customHeight="1" x14ac:dyDescent="0.2">
      <c r="XFC70" s="119">
        <v>45904</v>
      </c>
      <c r="XFD70" s="113">
        <v>45874</v>
      </c>
    </row>
    <row r="71" spans="13:14 16383:16384" ht="15.75" customHeight="1" x14ac:dyDescent="0.2">
      <c r="XFC71" s="119">
        <v>45905</v>
      </c>
      <c r="XFD71" s="113">
        <v>45875</v>
      </c>
    </row>
    <row r="72" spans="13:14 16383:16384" ht="15.75" customHeight="1" x14ac:dyDescent="0.2">
      <c r="XFC72" s="119">
        <v>45906</v>
      </c>
      <c r="XFD72" s="113">
        <v>45876</v>
      </c>
    </row>
    <row r="73" spans="13:14 16383:16384" ht="15.75" customHeight="1" x14ac:dyDescent="0.2">
      <c r="XFC73" s="119">
        <v>45907</v>
      </c>
      <c r="XFD73" s="113">
        <v>45877</v>
      </c>
    </row>
    <row r="74" spans="13:14 16383:16384" ht="15.75" customHeight="1" x14ac:dyDescent="0.2">
      <c r="XFC74" s="119">
        <v>45908</v>
      </c>
      <c r="XFD74" s="113">
        <v>45878</v>
      </c>
    </row>
    <row r="75" spans="13:14 16383:16384" ht="15.75" customHeight="1" x14ac:dyDescent="0.2">
      <c r="XFC75" s="119">
        <v>45909</v>
      </c>
      <c r="XFD75" s="113">
        <v>45879</v>
      </c>
    </row>
    <row r="76" spans="13:14 16383:16384" ht="15.75" customHeight="1" x14ac:dyDescent="0.2">
      <c r="XFC76" s="119">
        <v>45910</v>
      </c>
      <c r="XFD76" s="113">
        <v>45880</v>
      </c>
    </row>
    <row r="77" spans="13:14 16383:16384" ht="15.75" customHeight="1" x14ac:dyDescent="0.2">
      <c r="XFC77" s="119">
        <v>45911</v>
      </c>
      <c r="XFD77" s="113">
        <v>45881</v>
      </c>
    </row>
    <row r="78" spans="13:14 16383:16384" ht="15.75" customHeight="1" x14ac:dyDescent="0.2">
      <c r="XFC78" s="119">
        <v>45912</v>
      </c>
      <c r="XFD78" s="113">
        <v>45882</v>
      </c>
    </row>
    <row r="79" spans="13:14 16383:16384" ht="15.75" customHeight="1" x14ac:dyDescent="0.2">
      <c r="XFC79" s="119">
        <v>45913</v>
      </c>
      <c r="XFD79" s="113">
        <v>45883</v>
      </c>
    </row>
    <row r="80" spans="13:14 16383:16384" ht="15.75" customHeight="1" x14ac:dyDescent="0.2">
      <c r="XFC80" s="119">
        <v>45914</v>
      </c>
      <c r="XFD80" s="113">
        <v>45884</v>
      </c>
    </row>
    <row r="81" spans="16383:16384" ht="15.75" customHeight="1" x14ac:dyDescent="0.2">
      <c r="XFC81" s="119">
        <v>45915</v>
      </c>
      <c r="XFD81" s="113">
        <v>45885</v>
      </c>
    </row>
    <row r="82" spans="16383:16384" ht="15.75" customHeight="1" x14ac:dyDescent="0.2">
      <c r="XFC82" s="119">
        <v>45916</v>
      </c>
      <c r="XFD82" s="113">
        <v>45886</v>
      </c>
    </row>
    <row r="83" spans="16383:16384" ht="15.75" customHeight="1" x14ac:dyDescent="0.2">
      <c r="XFC83" s="119">
        <v>45917</v>
      </c>
      <c r="XFD83" s="113">
        <v>45887</v>
      </c>
    </row>
    <row r="84" spans="16383:16384" ht="15.75" customHeight="1" x14ac:dyDescent="0.2">
      <c r="XFC84" s="119">
        <v>45918</v>
      </c>
      <c r="XFD84" s="113">
        <v>45888</v>
      </c>
    </row>
    <row r="85" spans="16383:16384" ht="15.75" customHeight="1" x14ac:dyDescent="0.2">
      <c r="XFC85" s="119">
        <v>45919</v>
      </c>
      <c r="XFD85" s="113">
        <v>45889</v>
      </c>
    </row>
    <row r="86" spans="16383:16384" ht="15.75" customHeight="1" x14ac:dyDescent="0.2">
      <c r="XFC86" s="119">
        <v>45920</v>
      </c>
      <c r="XFD86" s="113">
        <v>45890</v>
      </c>
    </row>
    <row r="87" spans="16383:16384" ht="15.75" customHeight="1" x14ac:dyDescent="0.2">
      <c r="XFC87" s="119">
        <v>45921</v>
      </c>
      <c r="XFD87" s="113">
        <v>45891</v>
      </c>
    </row>
    <row r="88" spans="16383:16384" ht="15.75" customHeight="1" x14ac:dyDescent="0.2">
      <c r="XFC88" s="119">
        <v>45922</v>
      </c>
      <c r="XFD88" s="113">
        <v>45892</v>
      </c>
    </row>
    <row r="89" spans="16383:16384" ht="15.75" customHeight="1" x14ac:dyDescent="0.2">
      <c r="XFC89" s="119">
        <v>45923</v>
      </c>
      <c r="XFD89" s="113">
        <v>45893</v>
      </c>
    </row>
    <row r="90" spans="16383:16384" ht="15.75" customHeight="1" x14ac:dyDescent="0.2">
      <c r="XFC90" s="119">
        <v>45924</v>
      </c>
      <c r="XFD90" s="113">
        <v>45894</v>
      </c>
    </row>
    <row r="91" spans="16383:16384" ht="15.75" customHeight="1" x14ac:dyDescent="0.2">
      <c r="XFC91" s="119">
        <v>45925</v>
      </c>
      <c r="XFD91" s="113">
        <v>45895</v>
      </c>
    </row>
    <row r="92" spans="16383:16384" ht="15.75" customHeight="1" x14ac:dyDescent="0.2">
      <c r="XFC92" s="119">
        <v>45926</v>
      </c>
      <c r="XFD92" s="113">
        <v>45896</v>
      </c>
    </row>
    <row r="93" spans="16383:16384" ht="15.75" customHeight="1" x14ac:dyDescent="0.2">
      <c r="XFC93" s="119">
        <v>45927</v>
      </c>
      <c r="XFD93" s="113">
        <v>45897</v>
      </c>
    </row>
    <row r="94" spans="16383:16384" ht="15.75" customHeight="1" x14ac:dyDescent="0.2">
      <c r="XFC94" s="119">
        <v>45928</v>
      </c>
      <c r="XFD94" s="113">
        <v>45898</v>
      </c>
    </row>
    <row r="95" spans="16383:16384" ht="15.75" customHeight="1" x14ac:dyDescent="0.2">
      <c r="XFD95" s="113">
        <v>45899</v>
      </c>
    </row>
    <row r="96" spans="16383:16384" ht="15.75" customHeight="1" x14ac:dyDescent="0.2">
      <c r="XFD96" s="113">
        <v>45900</v>
      </c>
    </row>
    <row r="97" spans="16384:16384" ht="15.75" customHeight="1" x14ac:dyDescent="0.2">
      <c r="XFD97" s="11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49">
    <sortCondition descending="1" ref="N31"/>
  </sortState>
  <mergeCells count="14"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  <mergeCell ref="A5:C5"/>
    <mergeCell ref="D12:E12"/>
    <mergeCell ref="D18:E18"/>
    <mergeCell ref="D25:E25"/>
    <mergeCell ref="D6:E6"/>
  </mergeCells>
  <conditionalFormatting sqref="R31:R45">
    <cfRule type="expression" dxfId="2" priority="1">
      <formula>$H31&lt;=$R31</formula>
    </cfRule>
  </conditionalFormatting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efresh_Daily_Data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5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42" activePane="bottomLeft" state="frozen"/>
      <selection pane="bottomLeft" activeCell="G70" sqref="G70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0" t="s">
        <v>105</v>
      </c>
      <c r="B2" s="100" t="s">
        <v>110</v>
      </c>
      <c r="C2" s="100" t="s">
        <v>111</v>
      </c>
      <c r="D2" s="101" t="s">
        <v>112</v>
      </c>
      <c r="E2" s="101" t="s">
        <v>120</v>
      </c>
      <c r="F2" s="101" t="s">
        <v>113</v>
      </c>
      <c r="G2" s="102" t="s">
        <v>114</v>
      </c>
      <c r="H2" s="103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5"/>
      <c r="D3" s="105"/>
      <c r="E3" s="105"/>
      <c r="F3" s="105">
        <f>118-45+100+14+40</f>
        <v>227</v>
      </c>
      <c r="G3" s="106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7" t="s">
        <v>34</v>
      </c>
      <c r="D4" s="105">
        <v>3503</v>
      </c>
      <c r="E4" s="105">
        <f>40/D4</f>
        <v>1.1418783899514702E-2</v>
      </c>
      <c r="F4" s="105">
        <v>40</v>
      </c>
      <c r="G4" s="106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4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4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4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4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61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4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4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4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4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4" t="s">
        <v>708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4" t="s">
        <v>711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712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ht="25.5" x14ac:dyDescent="0.2">
      <c r="A61" s="71">
        <v>45928</v>
      </c>
      <c r="B61" s="25" t="s">
        <v>116</v>
      </c>
      <c r="C61" s="20" t="s">
        <v>34</v>
      </c>
      <c r="D61" s="73">
        <v>3998</v>
      </c>
      <c r="E61" s="20">
        <v>0.05</v>
      </c>
      <c r="F61" s="20">
        <f t="shared" si="1"/>
        <v>199.9</v>
      </c>
      <c r="G61" s="27" t="s">
        <v>736</v>
      </c>
      <c r="H61" s="25" t="s">
        <v>60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 B60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47"/>
  <sheetViews>
    <sheetView tabSelected="1" zoomScale="130" zoomScaleNormal="130" workbookViewId="0">
      <pane ySplit="1" topLeftCell="A519" activePane="bottomLeft" state="frozen"/>
      <selection pane="bottomLeft" activeCell="L553" sqref="L553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54.28515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3" bestFit="1" customWidth="1"/>
    <col min="19" max="21" width="5.5703125" style="23" bestFit="1" customWidth="1"/>
  </cols>
  <sheetData>
    <row r="1" spans="1:21" s="90" customFormat="1" ht="31.5" customHeight="1" x14ac:dyDescent="0.2">
      <c r="A1" s="84" t="s">
        <v>105</v>
      </c>
      <c r="B1" s="85" t="s">
        <v>138</v>
      </c>
      <c r="C1" s="85" t="s">
        <v>111</v>
      </c>
      <c r="D1" s="85" t="s">
        <v>0</v>
      </c>
      <c r="E1" s="85" t="s">
        <v>106</v>
      </c>
      <c r="F1" s="85" t="s">
        <v>107</v>
      </c>
      <c r="G1" s="85" t="s">
        <v>108</v>
      </c>
      <c r="H1" s="82" t="s">
        <v>48</v>
      </c>
      <c r="I1" s="82" t="s">
        <v>142</v>
      </c>
      <c r="J1" s="82" t="s">
        <v>141</v>
      </c>
      <c r="K1" s="82" t="s">
        <v>140</v>
      </c>
      <c r="L1" s="95" t="s">
        <v>145</v>
      </c>
      <c r="M1" s="86"/>
      <c r="N1" s="87"/>
      <c r="O1" s="85"/>
      <c r="P1" s="85"/>
      <c r="Q1" s="88"/>
      <c r="R1" s="89"/>
      <c r="S1" s="85"/>
      <c r="T1" s="85"/>
      <c r="U1" s="8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5173</v>
      </c>
      <c r="D528" s="23">
        <v>6074</v>
      </c>
      <c r="E528" s="23">
        <v>4629</v>
      </c>
      <c r="F528" s="23">
        <v>300</v>
      </c>
      <c r="G528" s="23">
        <v>1746</v>
      </c>
      <c r="H528" s="23">
        <v>0</v>
      </c>
      <c r="I528" s="23">
        <v>4606</v>
      </c>
      <c r="J528" s="23">
        <v>542</v>
      </c>
      <c r="K528" s="23">
        <v>23</v>
      </c>
      <c r="L528" s="32" t="s">
        <v>724</v>
      </c>
    </row>
    <row r="529" spans="1:12" x14ac:dyDescent="0.2">
      <c r="A529" s="69">
        <v>45910</v>
      </c>
      <c r="B529" s="23">
        <v>902</v>
      </c>
      <c r="C529" s="23">
        <v>5263</v>
      </c>
      <c r="D529" s="23">
        <v>6165</v>
      </c>
      <c r="E529" s="23">
        <v>4629</v>
      </c>
      <c r="F529" s="23">
        <v>300</v>
      </c>
      <c r="G529" s="23">
        <v>1836</v>
      </c>
      <c r="H529" s="23">
        <v>0</v>
      </c>
      <c r="I529" s="23">
        <v>4683</v>
      </c>
      <c r="J529" s="23">
        <v>556</v>
      </c>
      <c r="K529" s="23">
        <v>24</v>
      </c>
      <c r="L529" s="32" t="s">
        <v>725</v>
      </c>
    </row>
    <row r="530" spans="1:12" x14ac:dyDescent="0.2">
      <c r="A530" s="69">
        <v>45911</v>
      </c>
      <c r="B530" s="23">
        <v>902</v>
      </c>
      <c r="C530" s="23">
        <v>5365</v>
      </c>
      <c r="D530" s="23">
        <v>6266</v>
      </c>
      <c r="E530" s="23">
        <v>4629</v>
      </c>
      <c r="F530" s="23">
        <v>300</v>
      </c>
      <c r="G530" s="23">
        <v>1938</v>
      </c>
      <c r="H530" s="23">
        <v>0</v>
      </c>
      <c r="I530" s="23">
        <v>4782</v>
      </c>
      <c r="J530" s="23">
        <v>557</v>
      </c>
      <c r="K530" s="23">
        <v>24</v>
      </c>
      <c r="L530" s="32" t="s">
        <v>726</v>
      </c>
    </row>
    <row r="531" spans="1:12" x14ac:dyDescent="0.2">
      <c r="A531" s="69">
        <v>45912</v>
      </c>
      <c r="B531" s="23">
        <v>902</v>
      </c>
      <c r="C531" s="23">
        <v>5608</v>
      </c>
      <c r="D531" s="23">
        <v>6509</v>
      </c>
      <c r="E531" s="23">
        <v>4629</v>
      </c>
      <c r="F531" s="23">
        <v>300</v>
      </c>
      <c r="G531" s="23">
        <v>2181</v>
      </c>
      <c r="H531" s="23">
        <v>0</v>
      </c>
      <c r="I531" s="23">
        <v>5012</v>
      </c>
      <c r="J531" s="23">
        <v>570</v>
      </c>
      <c r="K531" s="23">
        <v>25</v>
      </c>
      <c r="L531" s="32" t="s">
        <v>727</v>
      </c>
    </row>
    <row r="532" spans="1:12" x14ac:dyDescent="0.2">
      <c r="A532" s="69">
        <v>45913</v>
      </c>
      <c r="B532" s="23">
        <v>902</v>
      </c>
      <c r="C532" s="23">
        <v>5624</v>
      </c>
      <c r="D532" s="23">
        <v>6525</v>
      </c>
      <c r="E532" s="23">
        <v>4667</v>
      </c>
      <c r="F532" s="23">
        <v>300</v>
      </c>
      <c r="G532" s="23">
        <v>2159</v>
      </c>
      <c r="H532" s="23">
        <v>0</v>
      </c>
      <c r="I532" s="23">
        <v>4996</v>
      </c>
      <c r="J532" s="23">
        <v>602</v>
      </c>
      <c r="K532" s="23">
        <v>25</v>
      </c>
      <c r="L532" s="32" t="s">
        <v>728</v>
      </c>
    </row>
    <row r="533" spans="1:12" x14ac:dyDescent="0.2">
      <c r="A533" s="69">
        <v>45914</v>
      </c>
      <c r="B533" s="23">
        <v>902</v>
      </c>
      <c r="C533" s="23">
        <v>5524</v>
      </c>
      <c r="D533" s="23">
        <v>6426</v>
      </c>
      <c r="E533" s="23">
        <v>4667</v>
      </c>
      <c r="F533" s="23">
        <v>300</v>
      </c>
      <c r="G533" s="23">
        <v>2059</v>
      </c>
      <c r="H533" s="23">
        <v>0</v>
      </c>
      <c r="I533" s="23">
        <v>4920</v>
      </c>
      <c r="J533" s="23">
        <v>580</v>
      </c>
      <c r="K533" s="23">
        <v>24</v>
      </c>
      <c r="L533" s="32" t="s">
        <v>722</v>
      </c>
    </row>
    <row r="534" spans="1:12" x14ac:dyDescent="0.2">
      <c r="A534" s="69">
        <v>45915</v>
      </c>
      <c r="B534" s="23">
        <v>902</v>
      </c>
      <c r="C534" s="23">
        <v>5420</v>
      </c>
      <c r="D534" s="23">
        <v>6321</v>
      </c>
      <c r="E534" s="23">
        <v>4667</v>
      </c>
      <c r="F534" s="23">
        <v>300</v>
      </c>
      <c r="G534" s="23">
        <v>1955</v>
      </c>
      <c r="H534" s="23">
        <v>0</v>
      </c>
      <c r="I534" s="23">
        <v>4829</v>
      </c>
      <c r="J534" s="23">
        <v>566</v>
      </c>
      <c r="K534" s="23">
        <v>23</v>
      </c>
      <c r="L534" s="32" t="s">
        <v>729</v>
      </c>
    </row>
    <row r="535" spans="1:12" x14ac:dyDescent="0.2">
      <c r="A535" s="69">
        <v>45916</v>
      </c>
      <c r="B535" s="23">
        <v>902</v>
      </c>
      <c r="C535" s="23">
        <v>5458</v>
      </c>
      <c r="D535" s="23">
        <v>6360</v>
      </c>
      <c r="E535" s="23">
        <v>4667</v>
      </c>
      <c r="F535" s="23">
        <v>300</v>
      </c>
      <c r="G535" s="23">
        <v>1994</v>
      </c>
      <c r="H535" s="23">
        <v>0</v>
      </c>
      <c r="I535" s="23">
        <v>4858</v>
      </c>
      <c r="J535" s="23">
        <v>579</v>
      </c>
      <c r="K535" s="23">
        <v>23</v>
      </c>
      <c r="L535" s="32" t="s">
        <v>730</v>
      </c>
    </row>
    <row r="536" spans="1:12" x14ac:dyDescent="0.2">
      <c r="A536" s="69">
        <v>45917</v>
      </c>
      <c r="B536" s="23">
        <v>902</v>
      </c>
      <c r="C536" s="23">
        <v>5607</v>
      </c>
      <c r="D536" s="23">
        <v>6508</v>
      </c>
      <c r="E536" s="23">
        <v>4667</v>
      </c>
      <c r="F536" s="23">
        <v>300</v>
      </c>
      <c r="G536" s="23">
        <v>2142</v>
      </c>
      <c r="H536" s="23">
        <v>0</v>
      </c>
      <c r="I536" s="23">
        <v>4991</v>
      </c>
      <c r="J536" s="23">
        <v>593</v>
      </c>
      <c r="K536" s="23">
        <v>24</v>
      </c>
      <c r="L536" s="32" t="s">
        <v>731</v>
      </c>
    </row>
    <row r="537" spans="1:12" x14ac:dyDescent="0.2">
      <c r="A537" s="69">
        <v>45918</v>
      </c>
      <c r="B537" s="23">
        <v>602</v>
      </c>
      <c r="C537" s="23">
        <v>5933</v>
      </c>
      <c r="D537" s="23">
        <v>6535</v>
      </c>
      <c r="E537" s="23">
        <v>4667</v>
      </c>
      <c r="F537" s="23">
        <v>300</v>
      </c>
      <c r="G537" s="23">
        <v>2169</v>
      </c>
      <c r="H537" s="23">
        <v>0</v>
      </c>
      <c r="I537" s="23">
        <v>5104</v>
      </c>
      <c r="J537" s="23">
        <v>805</v>
      </c>
      <c r="K537" s="23">
        <v>24</v>
      </c>
      <c r="L537" s="32" t="s">
        <v>723</v>
      </c>
    </row>
    <row r="538" spans="1:12" x14ac:dyDescent="0.2">
      <c r="A538" s="69">
        <v>45919</v>
      </c>
      <c r="B538" s="23">
        <v>787</v>
      </c>
      <c r="C538" s="23">
        <v>5561</v>
      </c>
      <c r="D538" s="23">
        <v>6347</v>
      </c>
      <c r="E538" s="23">
        <v>4667</v>
      </c>
      <c r="F538" s="23">
        <v>300</v>
      </c>
      <c r="G538" s="23">
        <v>1981</v>
      </c>
      <c r="H538" s="23">
        <v>0</v>
      </c>
      <c r="I538" s="23">
        <v>4966</v>
      </c>
      <c r="J538" s="23">
        <v>572</v>
      </c>
      <c r="K538" s="23">
        <v>22</v>
      </c>
      <c r="L538" s="32" t="s">
        <v>719</v>
      </c>
    </row>
    <row r="539" spans="1:12" x14ac:dyDescent="0.2">
      <c r="A539" s="69">
        <v>45920</v>
      </c>
      <c r="B539" s="23">
        <v>787</v>
      </c>
      <c r="C539" s="23">
        <v>5606</v>
      </c>
      <c r="D539" s="23">
        <v>6392</v>
      </c>
      <c r="E539" s="23">
        <v>4667</v>
      </c>
      <c r="F539" s="23">
        <v>300</v>
      </c>
      <c r="G539" s="23">
        <v>2026</v>
      </c>
      <c r="H539" s="23">
        <v>0</v>
      </c>
      <c r="I539" s="23">
        <v>5010</v>
      </c>
      <c r="J539" s="23">
        <v>574</v>
      </c>
      <c r="K539" s="23">
        <v>22</v>
      </c>
      <c r="L539" s="32" t="s">
        <v>721</v>
      </c>
    </row>
    <row r="540" spans="1:12" x14ac:dyDescent="0.2">
      <c r="A540" s="69">
        <v>45921</v>
      </c>
      <c r="B540" s="23">
        <v>787</v>
      </c>
      <c r="C540" s="23">
        <v>5540</v>
      </c>
      <c r="D540" s="23">
        <v>6327</v>
      </c>
      <c r="E540" s="23">
        <v>4667</v>
      </c>
      <c r="F540" s="23">
        <v>300</v>
      </c>
      <c r="G540" s="23">
        <v>1960</v>
      </c>
      <c r="H540" s="23">
        <v>0</v>
      </c>
      <c r="I540" s="23">
        <v>4963</v>
      </c>
      <c r="J540" s="23">
        <v>555</v>
      </c>
      <c r="K540" s="23">
        <v>22</v>
      </c>
      <c r="L540" s="32" t="s">
        <v>732</v>
      </c>
    </row>
    <row r="541" spans="1:12" x14ac:dyDescent="0.2">
      <c r="A541" s="69">
        <v>45922</v>
      </c>
      <c r="B541" s="23">
        <v>787</v>
      </c>
      <c r="C541" s="23">
        <v>5235</v>
      </c>
      <c r="D541" s="23">
        <v>6021</v>
      </c>
      <c r="E541" s="23">
        <v>4667</v>
      </c>
      <c r="F541" s="23">
        <v>300</v>
      </c>
      <c r="G541" s="23">
        <v>1655</v>
      </c>
      <c r="H541" s="23">
        <v>0</v>
      </c>
      <c r="I541" s="23">
        <v>4672</v>
      </c>
      <c r="J541" s="23">
        <v>542</v>
      </c>
      <c r="K541" s="23">
        <v>20</v>
      </c>
      <c r="L541" s="57" t="s">
        <v>733</v>
      </c>
    </row>
    <row r="542" spans="1:12" x14ac:dyDescent="0.2">
      <c r="A542" s="69">
        <v>45923</v>
      </c>
      <c r="B542" s="23">
        <v>787</v>
      </c>
      <c r="C542" s="23">
        <v>5170</v>
      </c>
      <c r="D542" s="23">
        <v>5957</v>
      </c>
      <c r="E542" s="23">
        <v>4667</v>
      </c>
      <c r="F542" s="23">
        <v>300</v>
      </c>
      <c r="G542" s="23">
        <v>1590</v>
      </c>
      <c r="H542" s="23">
        <v>0</v>
      </c>
      <c r="I542" s="23">
        <v>4619</v>
      </c>
      <c r="J542" s="23">
        <v>532</v>
      </c>
      <c r="K542" s="23">
        <v>19</v>
      </c>
      <c r="L542" s="32" t="s">
        <v>734</v>
      </c>
    </row>
    <row r="543" spans="1:12" x14ac:dyDescent="0.2">
      <c r="A543" s="69">
        <v>45924</v>
      </c>
      <c r="B543" s="23">
        <v>787</v>
      </c>
      <c r="C543" s="23">
        <v>5167</v>
      </c>
      <c r="D543" s="23">
        <v>5953</v>
      </c>
      <c r="E543" s="23">
        <v>4667</v>
      </c>
      <c r="F543" s="23">
        <v>300</v>
      </c>
      <c r="G543" s="23">
        <v>1587</v>
      </c>
      <c r="H543" s="23">
        <v>0</v>
      </c>
      <c r="I543" s="23">
        <v>4611</v>
      </c>
      <c r="J543" s="23">
        <v>535</v>
      </c>
      <c r="K543" s="23">
        <v>20</v>
      </c>
      <c r="L543" s="32" t="s">
        <v>720</v>
      </c>
    </row>
    <row r="545" spans="1:12" x14ac:dyDescent="0.2">
      <c r="A545" s="69">
        <v>45926</v>
      </c>
      <c r="B545" s="23">
        <v>787</v>
      </c>
      <c r="C545" s="23">
        <v>5003</v>
      </c>
      <c r="D545" s="23">
        <v>5789</v>
      </c>
      <c r="E545" s="23">
        <v>4667</v>
      </c>
      <c r="F545" s="23">
        <v>300</v>
      </c>
      <c r="G545" s="23">
        <v>1423</v>
      </c>
      <c r="H545" s="23">
        <v>0</v>
      </c>
      <c r="I545" s="23">
        <v>4461</v>
      </c>
      <c r="J545" s="23">
        <v>522</v>
      </c>
      <c r="K545" s="23">
        <v>19</v>
      </c>
      <c r="L545" s="32" t="s">
        <v>718</v>
      </c>
    </row>
    <row r="546" spans="1:12" x14ac:dyDescent="0.2">
      <c r="A546" s="69">
        <v>45927</v>
      </c>
      <c r="B546" s="23">
        <v>787</v>
      </c>
      <c r="C546" s="23">
        <v>4980</v>
      </c>
      <c r="D546" s="23">
        <v>5766</v>
      </c>
      <c r="E546" s="23">
        <v>4667</v>
      </c>
      <c r="F546" s="23">
        <v>300</v>
      </c>
      <c r="G546" s="23">
        <v>1400</v>
      </c>
      <c r="H546" s="23">
        <v>0</v>
      </c>
      <c r="I546" s="23">
        <v>4446</v>
      </c>
      <c r="J546" s="23">
        <v>516</v>
      </c>
      <c r="K546" s="23">
        <v>19</v>
      </c>
      <c r="L546" s="32" t="s">
        <v>735</v>
      </c>
    </row>
    <row r="547" spans="1:12" x14ac:dyDescent="0.2">
      <c r="A547" s="69">
        <v>45928</v>
      </c>
      <c r="B547" s="23">
        <v>587</v>
      </c>
      <c r="C547" s="23">
        <v>5167</v>
      </c>
      <c r="D547" s="23">
        <v>5754</v>
      </c>
      <c r="E547" s="23">
        <v>4667</v>
      </c>
      <c r="F547" s="23">
        <v>300</v>
      </c>
      <c r="G547" s="23">
        <v>1387</v>
      </c>
      <c r="H547" s="23">
        <v>0</v>
      </c>
      <c r="I547" s="23">
        <v>4633</v>
      </c>
      <c r="J547" s="23">
        <v>516</v>
      </c>
      <c r="K547" s="23">
        <v>19</v>
      </c>
      <c r="L547" s="32" t="s">
        <v>737</v>
      </c>
    </row>
  </sheetData>
  <sortState xmlns:xlrd2="http://schemas.microsoft.com/office/spreadsheetml/2017/richdata2" ref="A2:L547">
    <sortCondition ref="A2:A54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Refresh_Daily_Data">
                <anchor moveWithCells="1" sizeWithCells="1">
                  <from>
                    <xdr:col>7</xdr:col>
                    <xdr:colOff>66675</xdr:colOff>
                    <xdr:row>551</xdr:row>
                    <xdr:rowOff>142875</xdr:rowOff>
                  </from>
                  <to>
                    <xdr:col>9</xdr:col>
                    <xdr:colOff>38100</xdr:colOff>
                    <xdr:row>554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Show_Status_Bar">
                <anchor moveWithCells="1" sizeWithCells="1">
                  <from>
                    <xdr:col>10</xdr:col>
                    <xdr:colOff>66675</xdr:colOff>
                    <xdr:row>552</xdr:row>
                    <xdr:rowOff>142875</xdr:rowOff>
                  </from>
                  <to>
                    <xdr:col>11</xdr:col>
                    <xdr:colOff>371475</xdr:colOff>
                    <xdr:row>555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5"/>
  <sheetViews>
    <sheetView zoomScale="190" zoomScaleNormal="190" workbookViewId="0">
      <selection activeCell="B9" sqref="B9"/>
    </sheetView>
  </sheetViews>
  <sheetFormatPr defaultRowHeight="12.75" x14ac:dyDescent="0.2"/>
  <cols>
    <col min="1" max="16384" width="9.140625" style="93"/>
  </cols>
  <sheetData>
    <row r="1" spans="1:8" x14ac:dyDescent="0.2">
      <c r="A1" s="94" t="s">
        <v>48</v>
      </c>
      <c r="B1" s="94" t="s">
        <v>142</v>
      </c>
      <c r="C1" s="94" t="s">
        <v>141</v>
      </c>
      <c r="D1" s="94" t="s">
        <v>140</v>
      </c>
      <c r="H1" s="93" t="s">
        <v>677</v>
      </c>
    </row>
    <row r="2" spans="1:8" x14ac:dyDescent="0.2">
      <c r="A2" s="93" t="s">
        <v>48</v>
      </c>
      <c r="B2" s="93" t="s">
        <v>34</v>
      </c>
      <c r="C2" s="93" t="s">
        <v>42</v>
      </c>
      <c r="D2" s="93" t="s">
        <v>85</v>
      </c>
      <c r="G2" s="93" t="s">
        <v>142</v>
      </c>
      <c r="H2" s="93" t="s">
        <v>678</v>
      </c>
    </row>
    <row r="3" spans="1:8" x14ac:dyDescent="0.2">
      <c r="B3" s="93" t="s">
        <v>139</v>
      </c>
      <c r="C3" s="93" t="s">
        <v>685</v>
      </c>
      <c r="G3" s="93" t="s">
        <v>141</v>
      </c>
      <c r="H3" s="93" t="s">
        <v>679</v>
      </c>
    </row>
    <row r="4" spans="1:8" x14ac:dyDescent="0.2">
      <c r="B4" s="93" t="s">
        <v>78</v>
      </c>
      <c r="C4" s="93" t="s">
        <v>686</v>
      </c>
      <c r="G4" s="93" t="s">
        <v>140</v>
      </c>
      <c r="H4" s="93" t="s">
        <v>680</v>
      </c>
    </row>
    <row r="5" spans="1:8" x14ac:dyDescent="0.2">
      <c r="B5" s="93" t="s">
        <v>35</v>
      </c>
      <c r="C5" s="93" t="s">
        <v>687</v>
      </c>
    </row>
    <row r="6" spans="1:8" x14ac:dyDescent="0.2">
      <c r="B6" s="93" t="s">
        <v>43</v>
      </c>
      <c r="C6" s="93" t="s">
        <v>688</v>
      </c>
    </row>
    <row r="7" spans="1:8" x14ac:dyDescent="0.2">
      <c r="B7" s="93" t="s">
        <v>681</v>
      </c>
      <c r="C7" s="93" t="s">
        <v>36</v>
      </c>
    </row>
    <row r="8" spans="1:8" x14ac:dyDescent="0.2">
      <c r="B8" s="93" t="s">
        <v>37</v>
      </c>
      <c r="C8" s="93" t="s">
        <v>86</v>
      </c>
    </row>
    <row r="9" spans="1:8" x14ac:dyDescent="0.2">
      <c r="B9" s="93" t="s">
        <v>150</v>
      </c>
      <c r="C9" s="93" t="s">
        <v>149</v>
      </c>
    </row>
    <row r="10" spans="1:8" x14ac:dyDescent="0.2">
      <c r="B10" s="93" t="s">
        <v>88</v>
      </c>
      <c r="C10" s="93" t="s">
        <v>689</v>
      </c>
    </row>
    <row r="11" spans="1:8" x14ac:dyDescent="0.2">
      <c r="B11" s="93" t="s">
        <v>99</v>
      </c>
      <c r="C11" s="93" t="s">
        <v>690</v>
      </c>
    </row>
    <row r="12" spans="1:8" x14ac:dyDescent="0.2">
      <c r="B12" s="93" t="s">
        <v>682</v>
      </c>
      <c r="C12" s="93" t="s">
        <v>691</v>
      </c>
    </row>
    <row r="13" spans="1:8" x14ac:dyDescent="0.2">
      <c r="B13" s="93" t="s">
        <v>144</v>
      </c>
      <c r="C13" s="93" t="s">
        <v>692</v>
      </c>
    </row>
    <row r="14" spans="1:8" x14ac:dyDescent="0.2">
      <c r="B14" s="93" t="s">
        <v>683</v>
      </c>
      <c r="C14" s="93" t="s">
        <v>143</v>
      </c>
    </row>
    <row r="15" spans="1:8" x14ac:dyDescent="0.2">
      <c r="B15" s="93" t="s">
        <v>684</v>
      </c>
      <c r="C15" s="93" t="s">
        <v>693</v>
      </c>
    </row>
    <row r="16" spans="1:8" x14ac:dyDescent="0.2">
      <c r="C16" s="93" t="s">
        <v>694</v>
      </c>
    </row>
    <row r="17" spans="3:3" x14ac:dyDescent="0.2">
      <c r="C17" s="93" t="s">
        <v>695</v>
      </c>
    </row>
    <row r="18" spans="3:3" x14ac:dyDescent="0.2">
      <c r="C18" s="93" t="s">
        <v>80</v>
      </c>
    </row>
    <row r="19" spans="3:3" x14ac:dyDescent="0.2">
      <c r="C19" s="93" t="s">
        <v>696</v>
      </c>
    </row>
    <row r="20" spans="3:3" x14ac:dyDescent="0.2">
      <c r="C20" s="93" t="s">
        <v>109</v>
      </c>
    </row>
    <row r="21" spans="3:3" x14ac:dyDescent="0.2">
      <c r="C21" s="93" t="s">
        <v>77</v>
      </c>
    </row>
    <row r="22" spans="3:3" x14ac:dyDescent="0.2">
      <c r="C22" s="93" t="s">
        <v>697</v>
      </c>
    </row>
    <row r="23" spans="3:3" x14ac:dyDescent="0.2">
      <c r="C23" s="93" t="s">
        <v>698</v>
      </c>
    </row>
    <row r="24" spans="3:3" x14ac:dyDescent="0.2">
      <c r="C24" s="93" t="s">
        <v>699</v>
      </c>
    </row>
    <row r="25" spans="3:3" x14ac:dyDescent="0.2">
      <c r="C25" s="93" t="s">
        <v>700</v>
      </c>
    </row>
    <row r="26" spans="3:3" x14ac:dyDescent="0.2">
      <c r="C26" s="93" t="s">
        <v>701</v>
      </c>
    </row>
    <row r="27" spans="3:3" x14ac:dyDescent="0.2">
      <c r="C27" s="93" t="s">
        <v>41</v>
      </c>
    </row>
    <row r="28" spans="3:3" x14ac:dyDescent="0.2">
      <c r="C28" s="93" t="s">
        <v>702</v>
      </c>
    </row>
    <row r="29" spans="3:3" x14ac:dyDescent="0.2">
      <c r="C29" s="93" t="s">
        <v>83</v>
      </c>
    </row>
    <row r="30" spans="3:3" x14ac:dyDescent="0.2">
      <c r="C30" s="93" t="s">
        <v>81</v>
      </c>
    </row>
    <row r="31" spans="3:3" x14ac:dyDescent="0.2">
      <c r="C31" s="93" t="s">
        <v>703</v>
      </c>
    </row>
    <row r="32" spans="3:3" x14ac:dyDescent="0.2">
      <c r="C32" s="93" t="s">
        <v>704</v>
      </c>
    </row>
    <row r="33" spans="3:3" x14ac:dyDescent="0.2">
      <c r="C33" s="93" t="s">
        <v>148</v>
      </c>
    </row>
    <row r="34" spans="3:3" x14ac:dyDescent="0.2">
      <c r="C34" s="93" t="s">
        <v>45</v>
      </c>
    </row>
    <row r="35" spans="3:3" x14ac:dyDescent="0.2">
      <c r="C35" s="93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2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25" t="s">
        <v>55</v>
      </c>
      <c r="G3" s="126" t="s">
        <v>662</v>
      </c>
      <c r="H3" s="127"/>
    </row>
    <row r="4" spans="1:13" x14ac:dyDescent="0.2">
      <c r="A4" s="56" t="s">
        <v>661</v>
      </c>
      <c r="B4">
        <f>B13+D13+F13</f>
        <v>5599</v>
      </c>
      <c r="F4" s="128" t="s">
        <v>73</v>
      </c>
      <c r="G4" s="35" t="s">
        <v>662</v>
      </c>
      <c r="H4" s="129"/>
    </row>
    <row r="5" spans="1:13" x14ac:dyDescent="0.2">
      <c r="A5" s="56"/>
      <c r="F5" s="130" t="s">
        <v>91</v>
      </c>
      <c r="G5" s="131" t="s">
        <v>663</v>
      </c>
      <c r="H5" s="132"/>
    </row>
    <row r="6" spans="1:13" x14ac:dyDescent="0.2">
      <c r="A6" s="56" t="s">
        <v>55</v>
      </c>
      <c r="B6" s="124">
        <f>4282+600</f>
        <v>4882</v>
      </c>
      <c r="C6" s="56" t="s">
        <v>676</v>
      </c>
      <c r="L6" s="56"/>
      <c r="M6" s="35"/>
    </row>
    <row r="7" spans="1:13" x14ac:dyDescent="0.2">
      <c r="A7" s="56" t="s">
        <v>73</v>
      </c>
      <c r="B7" s="124">
        <v>1374</v>
      </c>
      <c r="C7" s="56" t="s">
        <v>676</v>
      </c>
      <c r="L7" s="56"/>
      <c r="M7" s="35"/>
    </row>
    <row r="8" spans="1:13" x14ac:dyDescent="0.2">
      <c r="A8" s="56" t="s">
        <v>91</v>
      </c>
      <c r="B8" s="124">
        <v>253</v>
      </c>
      <c r="C8" s="56" t="s">
        <v>676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59" t="s">
        <v>55</v>
      </c>
      <c r="B11" s="159"/>
      <c r="C11" s="159" t="s">
        <v>73</v>
      </c>
      <c r="D11" s="159"/>
      <c r="E11" s="159" t="s">
        <v>91</v>
      </c>
      <c r="F11" s="159"/>
      <c r="G11" s="159" t="s">
        <v>658</v>
      </c>
      <c r="H11" s="159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705</v>
      </c>
    </row>
    <row r="3" spans="2:2" x14ac:dyDescent="0.2">
      <c r="B3" s="56" t="s">
        <v>706</v>
      </c>
    </row>
    <row r="4" spans="2:2" x14ac:dyDescent="0.2">
      <c r="B4" s="56" t="s">
        <v>713</v>
      </c>
    </row>
    <row r="5" spans="2:2" x14ac:dyDescent="0.2">
      <c r="B5" s="56" t="s">
        <v>714</v>
      </c>
    </row>
    <row r="6" spans="2:2" x14ac:dyDescent="0.2">
      <c r="B6" s="56" t="s">
        <v>717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2025-09-28T06:35:45Z</dcterms:modified>
</cp:coreProperties>
</file>