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A92A6624-0046-4F59-BF2C-2CD3905A803D}" xr6:coauthVersionLast="47" xr6:coauthVersionMax="47" xr10:uidLastSave="{00000000-0000-0000-0000-000000000000}"/>
  <bookViews>
    <workbookView xWindow="-120" yWindow="-120" windowWidth="38640" windowHeight="21120" tabRatio="787" firstSheet="2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  <sheet name="improve" sheetId="37" r:id="rId10"/>
  </sheets>
  <functionGroups builtInGroupCount="19"/>
  <externalReferences>
    <externalReference r:id="rId11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Position!$A$30:$D$49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5" i="18" l="1"/>
  <c r="F74" i="18"/>
  <c r="F73" i="18"/>
  <c r="F72" i="18"/>
  <c r="F70" i="18"/>
  <c r="F69" i="18"/>
  <c r="F67" i="18"/>
  <c r="F66" i="18"/>
  <c r="F65" i="18"/>
  <c r="F63" i="18"/>
  <c r="F62" i="18"/>
  <c r="F61" i="18" l="1"/>
  <c r="F60" i="18"/>
  <c r="F59" i="18" l="1"/>
  <c r="F58" i="18"/>
  <c r="F57" i="18"/>
  <c r="C9" i="31"/>
  <c r="B9" i="20"/>
  <c r="B6" i="20"/>
  <c r="F13" i="20"/>
  <c r="D13" i="20"/>
  <c r="B13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ở hiện tại, so sánh với Max. NAV trong 3 tháng gần nhất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UTC+0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sharedStrings.xml><?xml version="1.0" encoding="utf-8"?>
<sst xmlns="http://schemas.openxmlformats.org/spreadsheetml/2006/main" count="1285" uniqueCount="772">
  <si>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</si>
  <si>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</si>
  <si>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</si>
  <si>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</si>
  <si>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</si>
  <si>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</si>
  <si>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</si>
  <si>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</si>
  <si>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</si>
  <si>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</si>
  <si>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</si>
  <si>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</si>
  <si>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</si>
  <si>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</si>
  <si>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</si>
  <si>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</si>
  <si>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</si>
  <si>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</si>
  <si>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</si>
  <si>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</si>
  <si>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</si>
  <si>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</si>
  <si>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</si>
  <si>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</si>
  <si>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</si>
  <si>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</si>
  <si>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</si>
  <si>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</si>
  <si>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</si>
  <si>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</si>
  <si>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</si>
  <si>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</si>
  <si>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</si>
  <si>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</si>
  <si>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</si>
  <si>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</si>
  <si>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</si>
  <si>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</si>
  <si>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</si>
  <si>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</si>
  <si>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</si>
  <si>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</si>
  <si>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</si>
  <si>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</si>
  <si>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</si>
  <si>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</si>
  <si>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</si>
  <si>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</si>
  <si>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</si>
  <si>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</si>
  <si>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</si>
  <si>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</si>
  <si>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</si>
  <si>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</si>
  <si>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</si>
  <si>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</si>
  <si>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</si>
  <si>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</si>
  <si>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</si>
  <si>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</si>
  <si>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</si>
  <si>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</si>
  <si>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</si>
  <si>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</si>
  <si>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</si>
  <si>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</si>
  <si>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</si>
  <si>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</si>
  <si>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</si>
  <si>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</si>
  <si>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</si>
  <si>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</si>
  <si>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</si>
  <si>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</si>
  <si>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</si>
  <si>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</si>
  <si>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</si>
  <si>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</si>
  <si>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</si>
  <si>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</si>
  <si>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</si>
  <si>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</si>
  <si>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</si>
  <si>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</si>
  <si>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</si>
  <si>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</si>
  <si>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</si>
  <si>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</si>
  <si>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</si>
  <si>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</si>
  <si>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</si>
  <si>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</si>
  <si>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</si>
  <si>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</si>
  <si>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</si>
  <si>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</si>
  <si>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</si>
  <si>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</si>
  <si>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</si>
  <si>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</si>
  <si>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</si>
  <si>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</si>
  <si>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</si>
  <si>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</si>
  <si>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</si>
  <si>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</si>
  <si>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</si>
  <si>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</si>
  <si>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</si>
  <si>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</si>
  <si>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</si>
  <si>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</si>
  <si>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</si>
  <si>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</si>
  <si>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</si>
  <si>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</si>
  <si>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</si>
  <si>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</si>
  <si>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</si>
  <si>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</si>
  <si>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</si>
  <si>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</si>
  <si>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</si>
  <si>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</si>
  <si>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</si>
  <si>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</si>
  <si>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</si>
  <si>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</si>
  <si>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</si>
  <si>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</si>
  <si>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</si>
  <si>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</si>
  <si>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</si>
  <si>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</si>
  <si>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</si>
  <si>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</si>
  <si>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</si>
  <si>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bybit</t>
  </si>
  <si>
    <t>Cash</t>
  </si>
  <si>
    <t>XRP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</si>
  <si>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</si>
  <si>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</si>
  <si>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</si>
  <si>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</si>
  <si>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</si>
  <si>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</si>
  <si>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</si>
  <si>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</si>
  <si>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</si>
  <si>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</si>
  <si>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</si>
  <si>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</si>
  <si>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</si>
  <si>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</si>
  <si>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</si>
  <si>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</si>
  <si>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</si>
  <si>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</si>
  <si>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</si>
  <si>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</si>
  <si>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</si>
  <si>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</si>
  <si>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</si>
  <si>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</si>
  <si>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</si>
  <si>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</si>
  <si>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</si>
  <si>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</si>
  <si>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</si>
  <si>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</si>
  <si>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</si>
  <si>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</si>
  <si>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</si>
  <si>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</si>
  <si>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</si>
  <si>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</si>
  <si>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</si>
  <si>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</si>
  <si>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</si>
  <si>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</si>
  <si>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</si>
  <si>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</si>
  <si>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</si>
  <si>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</si>
  <si>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</si>
  <si>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</si>
  <si>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</si>
  <si>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</si>
  <si>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</si>
  <si>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</si>
  <si>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</si>
  <si>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</si>
  <si>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</si>
  <si>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</si>
  <si>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</si>
  <si>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</si>
  <si>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</si>
  <si>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</si>
  <si>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</si>
  <si>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</si>
  <si>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</si>
  <si>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</si>
  <si>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</si>
  <si>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</si>
  <si>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</si>
  <si>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</si>
  <si>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</si>
  <si>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</si>
  <si>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</si>
  <si>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</si>
  <si>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</si>
  <si>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</si>
  <si>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</si>
  <si>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</si>
  <si>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</si>
  <si>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</si>
  <si>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</si>
  <si>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</si>
  <si>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</si>
  <si>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</si>
  <si>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</si>
  <si>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</si>
  <si>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</si>
  <si>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</si>
  <si>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</si>
  <si>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</si>
  <si>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</si>
  <si>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</si>
  <si>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</si>
  <si>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</si>
  <si>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</si>
  <si>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</si>
  <si>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</si>
  <si>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</si>
  <si>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</si>
  <si>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</si>
  <si>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</si>
  <si>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</si>
  <si>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</si>
  <si>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</si>
  <si>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</si>
  <si>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</si>
  <si>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</si>
  <si>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</si>
  <si>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</si>
  <si>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</si>
  <si>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</si>
  <si>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</si>
  <si>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</si>
  <si>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</si>
  <si>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</si>
  <si>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</si>
  <si>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</si>
  <si>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</si>
  <si>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</si>
  <si>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</si>
  <si>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</si>
  <si>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</si>
  <si>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</si>
  <si>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</si>
  <si>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</si>
  <si>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</si>
  <si>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</si>
  <si>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</si>
  <si>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</si>
  <si>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</si>
  <si>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</si>
  <si>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</si>
  <si>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</si>
  <si>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</si>
  <si>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</si>
  <si>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</si>
  <si>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</si>
  <si>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</si>
  <si>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</si>
  <si>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</si>
  <si>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</si>
  <si>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</si>
  <si>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</si>
  <si>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</si>
  <si>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</si>
  <si>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</si>
  <si>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</si>
  <si>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</si>
  <si>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</si>
  <si>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</si>
  <si>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</si>
  <si>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</si>
  <si>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</si>
  <si>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</si>
  <si>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</si>
  <si>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</si>
  <si>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</si>
  <si>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</si>
  <si>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</si>
  <si>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</si>
  <si>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</si>
  <si>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</si>
  <si>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</si>
  <si>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</si>
  <si>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</si>
  <si>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</si>
  <si>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</si>
  <si>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</si>
  <si>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</si>
  <si>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</si>
  <si>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</si>
  <si>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</si>
  <si>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</si>
  <si>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</si>
  <si>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</si>
  <si>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</si>
  <si>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</si>
  <si>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</si>
  <si>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</si>
  <si>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</si>
  <si>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</si>
  <si>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</si>
  <si>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</si>
  <si>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</si>
  <si>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</si>
  <si>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</si>
  <si>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</si>
  <si>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</si>
  <si>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</si>
  <si>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</si>
  <si>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</si>
  <si>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</si>
  <si>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</si>
  <si>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</si>
  <si>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</si>
  <si>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</si>
  <si>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</si>
  <si>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</si>
  <si>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</si>
  <si>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</si>
  <si>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</si>
  <si>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</si>
  <si>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</si>
  <si>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</si>
  <si>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</si>
  <si>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</si>
  <si>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</si>
  <si>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</si>
  <si>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</si>
  <si>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</si>
  <si>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</si>
  <si>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</si>
  <si>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</si>
  <si>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</si>
  <si>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</si>
  <si>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</si>
  <si>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</si>
  <si>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</si>
  <si>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</si>
  <si>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</si>
  <si>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</si>
  <si>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</si>
  <si>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</si>
  <si>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</si>
  <si>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</si>
  <si>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</si>
  <si>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</si>
  <si>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</si>
  <si>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</si>
  <si>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</si>
  <si>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</si>
  <si>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</si>
  <si>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</si>
  <si>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</si>
  <si>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</si>
  <si>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</si>
  <si>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</si>
  <si>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</si>
  <si>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</si>
  <si>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</si>
  <si>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</si>
  <si>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</si>
  <si>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</si>
  <si>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</si>
  <si>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</si>
  <si>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</si>
  <si>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</si>
  <si>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</si>
  <si>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</si>
  <si>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</si>
  <si>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</si>
  <si>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</si>
  <si>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</si>
  <si>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</si>
  <si>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</si>
  <si>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</si>
  <si>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</si>
  <si>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</si>
  <si>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</si>
  <si>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</si>
  <si>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</si>
  <si>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</si>
  <si>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</si>
  <si>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</si>
  <si>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</si>
  <si>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</si>
  <si>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</si>
  <si>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</si>
  <si>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</si>
  <si>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</si>
  <si>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</si>
  <si>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</si>
  <si>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</si>
  <si>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</si>
  <si>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</si>
  <si>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</si>
  <si>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</si>
  <si>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</si>
  <si>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</si>
  <si>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</si>
  <si>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</si>
  <si>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</si>
  <si>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</si>
  <si>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</si>
  <si>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</si>
  <si>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</si>
  <si>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</si>
  <si>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</si>
  <si>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</si>
  <si>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</si>
  <si>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</si>
  <si>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</si>
  <si>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</si>
  <si>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</si>
  <si>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</si>
  <si>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</si>
  <si>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</si>
  <si>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</si>
  <si>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</si>
  <si>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</si>
  <si>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</si>
  <si>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</si>
  <si>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</si>
  <si>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</si>
  <si>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</si>
  <si>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</si>
  <si>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</si>
  <si>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</si>
  <si>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</si>
  <si>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</si>
  <si>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</si>
  <si>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</si>
  <si>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</si>
  <si>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</si>
  <si>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</si>
  <si>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</si>
  <si>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</si>
  <si>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</si>
  <si>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</si>
  <si>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</si>
  <si>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</si>
  <si>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</si>
  <si>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</si>
  <si>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</si>
  <si>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</si>
  <si>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</si>
  <si>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</si>
  <si>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</si>
  <si>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</si>
  <si>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</si>
  <si>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</si>
  <si>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</si>
  <si>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</si>
  <si>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</si>
  <si>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</si>
  <si>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</si>
  <si>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</si>
  <si>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</si>
  <si>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</si>
  <si>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</si>
  <si>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</si>
  <si>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</si>
  <si>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</si>
  <si>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</si>
  <si>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</si>
  <si>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</si>
  <si>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</si>
  <si>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</si>
  <si>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</si>
  <si>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</si>
  <si>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</si>
  <si>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</si>
  <si>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</si>
  <si>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</si>
  <si>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</si>
  <si>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</si>
  <si>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</si>
  <si>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</si>
  <si>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</si>
  <si>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</si>
  <si>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</si>
  <si>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</si>
  <si>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</si>
  <si>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</si>
  <si>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</si>
  <si>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</si>
  <si>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</si>
  <si>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</si>
  <si>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</si>
  <si>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</si>
  <si>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</si>
  <si>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</si>
  <si>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</si>
  <si>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</si>
  <si>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</si>
  <si>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</si>
  <si>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</si>
  <si>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</si>
  <si>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</si>
  <si>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</si>
  <si>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</si>
  <si>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</si>
  <si>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</si>
  <si>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</si>
  <si>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</si>
  <si>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</si>
  <si>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</si>
  <si>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</si>
  <si>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</si>
  <si>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</si>
  <si>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</si>
  <si>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</si>
  <si>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</si>
  <si>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</si>
  <si>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</si>
  <si>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</si>
  <si>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</si>
  <si>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</si>
  <si>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</si>
  <si>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</si>
  <si>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</si>
  <si>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</si>
  <si>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</si>
  <si>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</si>
  <si>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</si>
  <si>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</si>
  <si>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</si>
  <si>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</si>
  <si>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</si>
  <si>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</si>
  <si>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</si>
  <si>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</si>
  <si>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</si>
  <si>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</si>
  <si>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</si>
  <si>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</si>
  <si>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</si>
  <si>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</si>
  <si>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</si>
  <si>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</si>
  <si>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</si>
  <si>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</si>
  <si>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</si>
  <si>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</si>
  <si>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</si>
  <si>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</si>
  <si>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</si>
  <si>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</si>
  <si>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</si>
  <si>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</si>
  <si>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</si>
  <si>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</si>
  <si>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</si>
  <si>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</si>
  <si>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</si>
  <si>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</si>
  <si>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</si>
  <si>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</si>
  <si>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</si>
  <si>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</si>
  <si>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</si>
  <si>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</si>
  <si>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</si>
  <si>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</si>
  <si>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</si>
  <si>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</si>
  <si>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</si>
  <si>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</si>
  <si>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</si>
  <si>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</si>
  <si>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</si>
  <si>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</si>
  <si>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</si>
  <si>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</si>
  <si>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</si>
  <si>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</si>
  <si>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</si>
  <si>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</si>
  <si>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</si>
  <si>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</si>
  <si>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</si>
  <si>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</si>
  <si>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</si>
  <si>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</si>
  <si>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</si>
  <si>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</si>
  <si>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</si>
  <si>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</si>
  <si>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</si>
  <si>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</si>
  <si>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</si>
  <si>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</si>
  <si>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</si>
  <si>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</si>
  <si>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</si>
  <si>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</si>
  <si>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</si>
  <si>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</si>
  <si>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</si>
  <si>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</si>
  <si>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</si>
  <si>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</si>
  <si>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</si>
  <si>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</si>
  <si>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</si>
  <si>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</si>
  <si>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</si>
  <si>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</si>
  <si>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</si>
  <si>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</si>
  <si>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</si>
  <si>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</si>
  <si>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</si>
  <si>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</si>
  <si>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</si>
  <si>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</si>
  <si>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</si>
  <si>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</si>
  <si>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</si>
  <si>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</si>
  <si>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</si>
  <si>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</si>
  <si>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</si>
  <si>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</si>
  <si>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</si>
  <si>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</si>
  <si>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</si>
  <si>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</si>
  <si>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</si>
  <si>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</si>
  <si>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</si>
  <si>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</si>
  <si>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</si>
  <si>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NAV drawdown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</si>
  <si>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</si>
  <si>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</si>
  <si>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</si>
  <si>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</si>
  <si>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</si>
  <si>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</si>
  <si>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</si>
  <si>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</si>
  <si>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</si>
  <si>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</si>
  <si>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</si>
  <si>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</si>
  <si>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</si>
  <si>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</si>
  <si>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</si>
  <si>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</si>
  <si>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</si>
  <si>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Limit</t>
  </si>
  <si>
    <t>%NAV</t>
  </si>
  <si>
    <t>Max. NAV 3M</t>
  </si>
  <si>
    <t>Min. NAV 3M</t>
  </si>
  <si>
    <t>Reduce %Alt.TOP</t>
  </si>
  <si>
    <t>Reduce Num of Alt.MID coin</t>
  </si>
  <si>
    <t>Select date</t>
  </si>
  <si>
    <t>&gt;&gt;CẮT LỖ NHANH, GỒNG LÃI LÂU&lt;&lt;</t>
  </si>
  <si>
    <t>nạp ARB từ ví lên sàn</t>
  </si>
  <si>
    <t>nhập tay</t>
  </si>
  <si>
    <t>Market cap</t>
  </si>
  <si>
    <t>10B - 100B</t>
  </si>
  <si>
    <t>1B-10B</t>
  </si>
  <si>
    <t>&lt;1B</t>
  </si>
  <si>
    <t>TRX</t>
  </si>
  <si>
    <t>AVAX</t>
  </si>
  <si>
    <t>BCH</t>
  </si>
  <si>
    <t>LEO</t>
  </si>
  <si>
    <t>CRO</t>
  </si>
  <si>
    <t>SHIB</t>
  </si>
  <si>
    <t>TON</t>
  </si>
  <si>
    <t>XMR</t>
  </si>
  <si>
    <t xml:space="preserve">WLFI </t>
  </si>
  <si>
    <t>DAI</t>
  </si>
  <si>
    <t>ENA</t>
  </si>
  <si>
    <t>AAVE</t>
  </si>
  <si>
    <t>OKB</t>
  </si>
  <si>
    <t>TAO</t>
  </si>
  <si>
    <t>BGB</t>
  </si>
  <si>
    <t>APT</t>
  </si>
  <si>
    <t>IP</t>
  </si>
  <si>
    <t>MYX</t>
  </si>
  <si>
    <t>PI</t>
  </si>
  <si>
    <t>PUMP</t>
  </si>
  <si>
    <t>ICP</t>
  </si>
  <si>
    <t>RENDER</t>
  </si>
  <si>
    <t>SEI</t>
  </si>
  <si>
    <t>tối ưu thuật toán tín position, dùng last position + order history của ngày hôm đó thay vì phải tính lại từ đầu đến cuối</t>
  </si>
  <si>
    <t>Hàm Update all snapshot: chạy xong hết rồi mới báo message thành công</t>
  </si>
  <si>
    <t>Check NAV !</t>
  </si>
  <si>
    <t>H4 break VCP, múc thêm</t>
  </si>
  <si>
    <t>Cutloss
price</t>
  </si>
  <si>
    <t>Cutloss
amount</t>
  </si>
  <si>
    <t>H1 break VCP, múc thêm</t>
  </si>
  <si>
    <t>SL lệnh mua thêm 200$ ngày 18/08/2025</t>
  </si>
  <si>
    <t>fix lỗi ngày 19/09: mất con HYPE</t>
  </si>
  <si>
    <t>change avg.cost to avg.price</t>
  </si>
  <si>
    <t>(UTC+0)</t>
  </si>
  <si>
    <t>show the warning message when can not fetch the price</t>
  </si>
  <si>
    <t>ETH: 2,440; SOL: 912; BNB: 563; ADA: 324; MNT: 143; WLD: 120; HYPE: 88; SUI: 81; ONDO: 68; LINK: 53; VET: 46; ALGO: 31; ARB: 30; UNI: 29; INJ: 28; NEAR: 27; AR: 19</t>
  </si>
  <si>
    <t>ETH: 2,704; SOL: 1,060; BNB: 577; ADA: 364; WLD: 141; MNT: 135; HYPE: 111; SUI: 91; ONDO: 78; LINK: 59; VET: 51; UNI: 35; ALGO: 34; ARB: 34; INJ: 33; NEAR: 31; AR: 22</t>
  </si>
  <si>
    <t>ETH: 2,513; SOL: 941; BNB: 597; ADA: 332; MNT: 141; WLD: 127; HYPE: 90; SUI: 84; ONDO: 70; LINK: 54; VET: 47; ALGO: 31; NEAR: 30; UNI: 30; ARB: 30; INJ: 29; AR: 20</t>
  </si>
  <si>
    <t>ETH: 2,711; SOL: 1,065; BNB: 612; ADA: 365; WLD: 141; MNT: 137; HYPE: 107; SUI: 92; ONDO: 77; LINK: 58; VET: 51; ALGO: 35; UNI: 35; ARB: 34; INJ: 33; NEAR: 31; AR: 22</t>
  </si>
  <si>
    <t>ETH: 2,786; SOL: 969; BNB: 543; ADA: 363; WLD: 148; MNT: 134; HYPE: 106; SUI: 93; ONDO: 80; LINK: 60; VET: 51; UNI: 36; ARB: 36; ALGO: 35; INJ: 33; NEAR: 27; AR: 24</t>
  </si>
  <si>
    <t>ETH: 2,776; SOL: 1,100; BNB: 575; ADA: 378; MNT: 344; WLD: 150; HYPE: 115; SUI: 98; ONDO: 82; LINK: 62; VET: 53; UNI: 37; ARB: 37; ALGO: 36; INJ: 35; NEAR: 31; AR: 24</t>
  </si>
  <si>
    <t>ETH: 2,608; SOL: 878; BNB: 516; ADA: 354; WLD: 181; MNT: 110; HYPE: 105; SUI: 87; ONDO: 72; LINK: 58; VET: 50; UNI: 36; ALGO: 34; INJ: 33; NEAR: 26; AR: 23</t>
  </si>
  <si>
    <t>ETH: 2,632; SOL: 906; BNB: 524; ADA: 362; WLD: 175; MNT: 121; HYPE: 109; SUI: 91; ONDO: 78; LINK: 59; VET: 50; UNI: 37; ALGO: 35; INJ: 33; NEAR: 27; AR: 24</t>
  </si>
  <si>
    <t>ETH: 2,698; SOL: 925; BNB: 529; ADA: 365; WLD: 155; MNT: 134; HYPE: 112; SUI: 92; ONDO: 82; LINK: 61; VET: 51; UNI: 38; ALGO: 36; INJ: 34; NEAR: 27; AR: 24</t>
  </si>
  <si>
    <t>ETH: 2,851; SOL: 979; BNB: 542; ADA: 375; WLD: 156; MNT: 141; HYPE: 109; SUI: 93; ONDO: 84; LINK: 63; VET: 52; UNI: 39; ALGO: 36; INJ: 34; NEAR: 28; AR: 25</t>
  </si>
  <si>
    <t>ETH: 2,824; SOL: 980; BNB: 547; ADA: 380; WLD: 155; MNT: 135; HYPE: 107; SUI: 96; ONDO: 83; LINK: 62; VET: 53; UNI: 39; ARB: 38; ALGO: 37; INJ: 34; NEAR: 28; AR: 25</t>
  </si>
  <si>
    <t>ETH: 2,737; SOL: 947; BNB: 539; ADA: 353; WLD: 142; MNT: 134; HYPE: 106; SUI: 88; ONDO: 79; LINK: 59; VET: 50; UNI: 35; ALGO: 34; ARB: 34; INJ: 32; NEAR: 26; AR: 23</t>
  </si>
  <si>
    <t>ETH: 2,724; SOL: 958; BNB: 560; ADA: 360; MNT: 143; WLD: 142; HYPE: 107; SUI: 90; ONDO: 78; LINK: 59; VET: 50; UNI: 36; ALGO: 35; ARB: 35; INJ: 33; NEAR: 27; AR: 23</t>
  </si>
  <si>
    <t>ETH: 2,778; SOL: 990; BNB: 580; ADA: 374; WLD: 150; MNT: 139; HYPE: 114; SUI: 95; ONDO: 81; LINK: 60; VET: 52; UNI: 37; ALGO: 36; ARB: 36; INJ: 34; NEAR: 28; AR: 24</t>
  </si>
  <si>
    <t>ETH: 2,690; SOL: 1,050; BNB: 614; ADA: 361; WLD: 137; MNT: 127; HYPE: 100; SUI: 91; ONDO: 75; LINK: 57; VET: 50; UNI: 35; ALGO: 34; ARB: 34; INJ: 32; NEAR: 31; AR: 22</t>
  </si>
  <si>
    <t>ETH: 2,541; SOL: 980; BNB: 582; ADA: 338; MNT: 142; WLD: 131; HYPE: 93; SUI: 84; ONDO: 72; LINK: 54; VET: 47; ALGO: 31; UNI: 31; ARB: 30; NEAR: 29; INJ: 29; AR: 20</t>
  </si>
  <si>
    <t>ETH: 2,520; SOL: 948; BNB: 596; ADA: 330; MNT: 144; WLD: 122; HYPE: 88; SUI: 83; ONDO: 70; LINK: 54; VET: 46; ALGO: 31; UNI: 31; ARB: 30; NEAR: 29; INJ: 29; AR: 19</t>
  </si>
  <si>
    <t>ETH: 2,432; SOL: 905; BNB: 568; ADA: 319; MNT: 140; WLD: 120; HYPE: 90; SUI: 80; ONDO: 67; LINK: 52; VET: 45; ALGO: 30; ARB: 30; UNI: 29; INJ: 28; NEAR: 27; AR: 19</t>
  </si>
  <si>
    <t>hồi về đỉnh cũ có phản ứng (phân tích H1), múc thêm 200$</t>
  </si>
  <si>
    <t>ETH: 2,344; SOL: 857; BNB: 554; ADA: 312; MNT: 131; WLD: 118; HYPE: 79; SUI: 78; ONDO: 66; LINK: 50; VET: 44; ALGO: 30; UNI: 28; ARB: 28; NEAR: 27; INJ: 27; AR: 18</t>
  </si>
  <si>
    <t>H1 về IBL bật lên</t>
  </si>
  <si>
    <t>nạp 600$ để làm air binance alpha tiếp tục, hôm qua lấy 600$ mua ETH+SOL rồi. Nay mua USD với giá 26660, quá mắc</t>
  </si>
  <si>
    <t>múc thêm, mẫu hình W H1 (trong trend tăng)</t>
  </si>
  <si>
    <t>ASTER</t>
  </si>
  <si>
    <t xml:space="preserve">hàng CZ đẩy, mới list sàn, cạnh tranh Hypeliquid. </t>
  </si>
  <si>
    <t>nạp thêm 15tr lên BN, giá USD = 27200VNĐ</t>
  </si>
  <si>
    <t>mua thêm sau cú crash, còn giữ được 4k</t>
  </si>
  <si>
    <t>mua thêm sau cú dump</t>
  </si>
  <si>
    <t>nạp thêm để cày binance alpha acc2 + mua lại ADA đã bán hôm bữa để cày acc1 (do tiền cày acc1 lấy bắt đáy ETH+SOL), giá USD = 27100VNĐ</t>
  </si>
  <si>
    <t>mua thêm sau cú sập</t>
  </si>
  <si>
    <t>SL, yếu quá. Mua 50$ để 6 tháng còn 12$, bán dọn rác</t>
  </si>
  <si>
    <t>SL, lủng cả đáng 2023. mua có 50$ mà để 6 tháng còn 34$, bán dọn rác</t>
  </si>
  <si>
    <t>ETH: 3,023; SOL: 1,251; BNB: 582; ADA: 331; MNT: 146; WLD: 125; HYPE: 93; SUI: 82; ONDO: 69; LINK: 54; VET: 46; ALGO: 31; UNI: 30; ARB: 30; INJ: 29; NEAR: 28; AR: 19</t>
  </si>
  <si>
    <t>ETH: 3,076; SOL: 1,263; BNB: 604; ADA: 330; MNT: 157; WLD: 120; HYPE: 91; SUI: 82; ONDO: 68; LINK: 54; VET: 45; ALGO: 30; UNI: 30; INJ: 29; ARB: 29; NEAR: 27; AR: 18</t>
  </si>
  <si>
    <t>ETH: 3,025; SOL: 1,239; BNB: 591; ADA: 330; MNT: 145; WLD: 117; HYPE: 89; SUI: 82; ONDO: 67; LINK: 53; VET: 45; ALGO: 31; UNI: 29; ARB: 29; INJ: 28; NEAR: 26; AR: 18</t>
  </si>
  <si>
    <t>ETH: 3,173; SOL: 1,318; BNB: 602; ADA: 348; MNT: 155; WLD: 123; HYPE: 93; SUI: 88; ONDO: 71; LINK: 56; VET: 48; ALGO: 32; UNI: 31; INJ: 30; ARB: 30; NEAR: 28; AR: 20</t>
  </si>
  <si>
    <t>ETH: 3,272; SOL: 1,393; BNB: 639; ADA: 356; MNT: 162; WLD: 127; HYPE: 100; SUI: 90; ONDO: 73; LINK: 57; VET: 49; ALGO: 33; UNI: 32; ARB: 32; INJ: 31; NEAR: 29; AR: 20</t>
  </si>
  <si>
    <t>ETH: 3,293; SOL: 1,382; BNB: 697; ADA: 354; MNT: 158; WLD: 126; HYPE: 97; SUI: 90; ONDO: 72; LINK: 56; VET: 49; ALGO: 33; INJ: 32; UNI: 31; ARB: 31; NEAR: 30; AR: 20</t>
  </si>
  <si>
    <t>ETH: 3,274; SOL: 1,352; BNB: 675; ADA: 343; MNT: 161; WLD: 119; HYPE: 97; SUI: 91; ONDO: 70; LINK: 55; VET: 47; ALGO: 32; UNI: 31; INJ: 30; ARB: 30; NEAR: 29; AR: 19</t>
  </si>
  <si>
    <t>ETH: 3,294; SOL: 1,357; BNB: 684; ADA: 342; MNT: 173; WLD: 118; HYPE: 95; SUI: 89; ONDO: 70; LINK: 55; VET: 47; ALGO: 32; UNI: 31; INJ: 30; ARB: 30; NEAR: 29; AR: 20</t>
  </si>
  <si>
    <t>ETH: 3,418; SOL: 1,773; BNB: 717; ADA: 356; ASTER: 206; MNT: 203; WLD: 123; HYPE: 93; SUI: 91; ONDO: 73; LINK: 58; VET: 49; ALGO: 34; UNI: 32; ARB: 32; INJ: 31; NEAR: 30; AR: 20</t>
  </si>
  <si>
    <t>ETH: 3,246; SOL: 1,679; BNB: 765; ADA: 335; ASTER: 205; MNT: 188; WLD: 112; HYPE: 89; SUI: 87; ONDO: 69; LINK: 54; VET: 46; ALGO: 32; UNI: 30; NEAR: 29; INJ: 29; ARB: 29; AR: 19</t>
  </si>
  <si>
    <t>ETH: 3,303; SOL: 1,748; BNB: 766; ADA: 343; MNT: 220; ASTER: 193; WLD: 120; HYPE: 92; SUI: 89; ONDO: 70; LINK: 57; VET: 47; ALGO: 33; UNI: 31; INJ: 30; ARB: 30; NEAR: 29; AR: 20</t>
  </si>
  <si>
    <t>ETH: 3,188; SOL: 1,686; BNB: 736; ADA: 333; MNT: 192; ASTER: 168; WLD: 112; HYPE: 87; SUI: 86; ONDO: 67; LINK: 55; VET: 45; ALGO: 32; UNI: 30; INJ: 29; ARB: 29; NEAR: 28; AR: 19</t>
  </si>
  <si>
    <t>ETH: 3,031; SOL: 1,438; BNB: 646; ADA: 260; MNT: 141; ASTER: 132; WLD: 82; HYPE: 74; SUI: 65; ONDO: 53; LINK: 43; VET: 33; ALGO: 26; NEAR: 24; UNI: 22; ARB: 21; INJ: 20; AR: 13</t>
  </si>
  <si>
    <t>ETH: 2,965; SOL: 1,355; BNB: 665; ADA: 258; MNT: 133; ASTER: 120; WLD: 86; HYPE: 73; SUI: 64; ONDO: 55; LINK: 43; VET: 34; ALGO: 27; NEAR: 23; UNI: 22; ARB: 21; INJ: 20; AR: 13</t>
  </si>
  <si>
    <t>ETH: 3,286; SOL: 1,503; BNB: 764; ADA: 286; MNT: 184; ASTER: 149; WLD: 94; HYPE: 78; SUI: 70; ONDO: 62; LINK: 48; VET: 40; ALGO: 30; UNI: 25; NEAR: 24; INJ: 23; ARB: 23; AR: 15</t>
  </si>
  <si>
    <t>ETH: 3,356; SOL: 1,592; BNB: 759; ADA: 298; MNT: 173; ASTER: 145; WLD: 95; HYPE: 84; SUI: 75; ONDO: 63; LINK: 50; VET: 41; ALGO: 31; UNI: 27; NEAR: 26; ARB: 25; INJ: 24; AR: 16</t>
  </si>
  <si>
    <t>ETH: 3,673; SOL: 1,700; BNB: 708; ADA: 286; MNT: 162; ASTER: 150; WLD: 90; HYPE: 78; SUI: 71; ONDO: 61; LINK: 48; VET: 39; ALGO: 30; UNI: 26; NEAR: 24; ARB: 24; INJ: 23; AR: 15</t>
  </si>
  <si>
    <t>ETH: 3,549; SOL: 1,628; BNB: 681; ADA: 273; ASTER: 165; MNT: 148; WLD: 87; HYPE: 74; SUI: 67; ONDO: 58; LINK: 45; VET: 38; ALGO: 29; UNI: 25; NEAR: 23; ARB: 23; INJ: 21; AR: 14</t>
  </si>
  <si>
    <t>ETH: 3,468; SOL: 1,552; BNB: 671; ADA: 264; ASTER: 162; MNT: 140; WLD: 84; HYPE: 72; SUI: 63; ONDO: 55; LINK: 44; VET: 36; ALGO: 27; UNI: 24; NEAR: 22; ARB: 22; INJ: 20; AR: 13</t>
  </si>
  <si>
    <t xml:space="preserve">bán cắt lỗ, dọn rác. </t>
  </si>
  <si>
    <t>ETH: 3,412; SOL: 1,528; BNB: 628; ADA: 255; ASTER: 149; MNT: 131; WLD: 82; HYPE: 70; ONDO: 54; LINK: 42; ALGO: 26; UNI: 23; NEAR: 21; ARB: 21; INJ: 20</t>
  </si>
  <si>
    <t>ETH: 3,463; SOL: 1,575; BNB: 640; ADA: 259; ASTER: 151; MNT: 137; WLD: 83; HYPE: 73; ONDO: 54; LINK: 42; ALGO: 26; UNI: 23; ARB: 22; NEAR: 21; INJ: 20</t>
  </si>
  <si>
    <t>Avg buy price</t>
  </si>
  <si>
    <t>ETH: 3,495; SOL: 1,583; BNB: 644; ADA: 263; ASTER: 154; MNT: 137; WLD: 84; HYPE: 72; ONDO: 55; LINK: 43; ALGO: 27; UNI: 23; NEAR: 22; ARB: 22; INJ: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</si>
</sst>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4" formatCode="dd\-mmm\-yy"/>
    <numFmt numFmtId="175" formatCode="[$-409]d\-m\-yy"/>
    <numFmt numFmtId="176" formatCode="dd/mm/yy"/>
  </numFmts>
  <fonts count="25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  <font>
      <b/>
      <sz val="10"/>
      <color rgb="FFFF0000"/>
      <name val="Arial"/>
      <family val="2"/>
    </font>
    <font>
      <sz val="10"/>
      <color theme="4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1" fillId="0" borderId="0" applyNumberFormat="0" applyFill="0" applyBorder="0" applyAlignment="0" applyProtection="0"/>
  </cellStyleXfs>
  <cellXfs count="192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0" fontId="22" fillId="0" borderId="0" xfId="0" applyFont="1"/>
    <xf numFmtId="175" fontId="0" fillId="0" borderId="0" xfId="0" applyNumberFormat="1"/>
    <xf numFmtId="3" fontId="2" fillId="5" borderId="0" xfId="0" applyNumberFormat="1" applyFont="1" applyFill="1"/>
    <xf numFmtId="3" fontId="20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176" fontId="0" fillId="0" borderId="0" xfId="0" applyNumberFormat="1"/>
    <xf numFmtId="171" fontId="2" fillId="4" borderId="5" xfId="0" applyNumberFormat="1" applyFont="1" applyFill="1" applyBorder="1" applyAlignment="1">
      <alignment horizontal="right"/>
    </xf>
    <xf numFmtId="9" fontId="11" fillId="0" borderId="0" xfId="1" applyFont="1"/>
    <xf numFmtId="49" fontId="23" fillId="0" borderId="0" xfId="0" applyNumberFormat="1" applyFont="1" applyAlignment="1">
      <alignment horizontal="left"/>
    </xf>
    <xf numFmtId="0" fontId="24" fillId="0" borderId="0" xfId="0" applyFont="1"/>
    <xf numFmtId="0" fontId="7" fillId="0" borderId="11" xfId="0" applyFont="1" applyBorder="1"/>
    <xf numFmtId="0" fontId="0" fillId="0" borderId="12" xfId="0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7" fillId="0" borderId="16" xfId="0" applyFont="1" applyBorder="1"/>
    <xf numFmtId="0" fontId="0" fillId="0" borderId="17" xfId="0" applyBorder="1"/>
    <xf numFmtId="0" fontId="0" fillId="0" borderId="18" xfId="0" applyBorder="1"/>
    <xf numFmtId="4" fontId="7" fillId="0" borderId="1" xfId="0" applyNumberFormat="1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166" fontId="15" fillId="0" borderId="1" xfId="0" applyNumberFormat="1" applyFont="1" applyBorder="1" applyAlignment="1">
      <alignment horizontal="right" vertical="center"/>
    </xf>
    <xf numFmtId="3" fontId="3" fillId="7" borderId="1" xfId="0" applyNumberFormat="1" applyFont="1" applyFill="1" applyBorder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7" fillId="0" borderId="0" xfId="0" applyNumberFormat="1" applyFont="1"/>
    <xf numFmtId="3" fontId="11" fillId="0" borderId="0" xfId="0" applyNumberFormat="1" applyFont="1"/>
    <xf numFmtId="3" fontId="23" fillId="0" borderId="0" xfId="0" applyNumberFormat="1" applyFont="1"/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8" fillId="0" borderId="5" xfId="0" applyNumberFormat="1" applyFont="1" applyBorder="1" applyAlignment="1">
      <alignment horizontal="right" vertical="center"/>
    </xf>
    <xf numFmtId="166" fontId="18" fillId="0" borderId="1" xfId="0" applyNumberFormat="1" applyFont="1" applyBorder="1" applyAlignment="1">
      <alignment horizontal="right" vertical="center"/>
    </xf>
    <xf numFmtId="167" fontId="2" fillId="0" borderId="0" xfId="0" applyNumberFormat="1" applyFont="1" applyBorder="1" applyAlignment="1">
      <alignment horizontal="right" vertical="center"/>
    </xf>
    <xf numFmtId="172" fontId="7" fillId="0" borderId="8" xfId="0" applyNumberFormat="1" applyFont="1" applyBorder="1" applyAlignment="1">
      <alignment horizontal="right" vertical="center"/>
    </xf>
    <xf numFmtId="174" fontId="7" fillId="0" borderId="5" xfId="0" applyNumberFormat="1" applyFont="1" applyBorder="1" applyAlignment="1">
      <alignment horizontal="right" vertical="center"/>
    </xf>
    <xf numFmtId="174" fontId="2" fillId="0" borderId="0" xfId="0" applyNumberFormat="1" applyFont="1" applyBorder="1" applyAlignment="1">
      <alignment horizontal="right" vertical="center"/>
    </xf>
    <xf numFmtId="174" fontId="7" fillId="0" borderId="1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4" fontId="7" fillId="0" borderId="6" xfId="0" applyNumberFormat="1" applyFont="1" applyBorder="1" applyAlignment="1">
      <alignment horizontal="right" vertical="center"/>
    </xf>
    <xf numFmtId="4" fontId="7" fillId="0" borderId="0" xfId="0" applyNumberFormat="1" applyFont="1" applyBorder="1" applyAlignment="1">
      <alignment horizontal="right" vertical="center"/>
    </xf>
    <xf numFmtId="3" fontId="7" fillId="0" borderId="5" xfId="0" applyNumberFormat="1" applyFont="1" applyBorder="1" applyAlignment="1">
      <alignment horizontal="right" vertical="center"/>
    </xf>
    <xf numFmtId="166" fontId="7" fillId="0" borderId="1" xfId="0" applyNumberFormat="1" applyFont="1" applyBorder="1" applyAlignment="1">
      <alignment horizontal="right" vertical="center"/>
    </xf>
    <xf numFmtId="166" fontId="7" fillId="0" borderId="5" xfId="0" applyNumberFormat="1" applyFont="1" applyBorder="1" applyAlignment="1">
      <alignment horizontal="right" vertical="center"/>
    </xf>
    <xf numFmtId="3" fontId="15" fillId="0" borderId="6" xfId="0" applyNumberFormat="1" applyFont="1" applyBorder="1" applyAlignment="1">
      <alignment horizontal="right" vertical="center"/>
    </xf>
    <xf numFmtId="3" fontId="18" fillId="0" borderId="0" xfId="0" applyNumberFormat="1" applyFont="1" applyBorder="1" applyAlignment="1">
      <alignment horizontal="right" vertical="center"/>
    </xf>
    <xf numFmtId="166" fontId="18" fillId="0" borderId="0" xfId="0" applyNumberFormat="1" applyFont="1" applyBorder="1" applyAlignment="1">
      <alignment horizontal="right" vertical="center"/>
    </xf>
    <xf numFmtId="0" fontId="7" fillId="0" borderId="0" xfId="0" applyNumberFormat="1" applyFont="1" applyAlignment="1">
      <alignment horizontal="right" vertical="center"/>
    </xf>
    <xf numFmtId="0" fontId="7" fillId="0" borderId="1" xfId="0" applyNumberFormat="1" applyFont="1" applyBorder="1" applyAlignment="1">
      <alignment horizontal="right" vertical="center"/>
    </xf>
    <xf numFmtId="174" fontId="7" fillId="0" borderId="0" xfId="0" applyNumberFormat="1" applyFont="1" applyBorder="1" applyAlignment="1">
      <alignment horizontal="right" vertical="center"/>
    </xf>
    <xf numFmtId="3" fontId="7" fillId="0" borderId="0" xfId="0" applyNumberFormat="1" applyFont="1" applyBorder="1" applyAlignment="1">
      <alignment horizontal="right" vertical="center"/>
    </xf>
    <xf numFmtId="0" fontId="7" fillId="0" borderId="0" xfId="0" applyNumberFormat="1" applyFont="1" applyBorder="1" applyAlignment="1">
      <alignment horizontal="right" vertical="center"/>
    </xf>
    <xf numFmtId="166" fontId="7" fillId="0" borderId="0" xfId="0" applyNumberFormat="1" applyFont="1" applyBorder="1" applyAlignment="1">
      <alignment horizontal="right" vertical="center"/>
    </xf>
    <xf numFmtId="3" fontId="15" fillId="0" borderId="0" xfId="0" applyNumberFormat="1" applyFont="1" applyBorder="1" applyAlignment="1">
      <alignment horizontal="right" vertical="center"/>
    </xf>
    <xf numFmtId="166" fontId="15" fillId="0" borderId="0" xfId="0" applyNumberFormat="1" applyFont="1" applyBorder="1" applyAlignment="1">
      <alignment horizontal="right" vertical="center"/>
    </xf>
    <xf numFmtId="172" fontId="2" fillId="0" borderId="8" xfId="0" applyNumberFormat="1" applyFont="1" applyBorder="1" applyAlignment="1">
      <alignment horizontal="right" vertical="center"/>
    </xf>
    <xf numFmtId="174" fontId="2" fillId="0" borderId="0" xfId="0" applyNumberFormat="1" applyFont="1" applyBorder="1" applyAlignment="1">
      <alignment horizontal="right" vertical="center" wrapText="1"/>
    </xf>
    <xf numFmtId="0" fontId="7" fillId="0" borderId="8" xfId="0" applyFont="1" applyBorder="1" applyAlignment="1">
      <alignment horizontal="right" vertical="center"/>
    </xf>
    <xf numFmtId="14" fontId="2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right"/>
    </xf>
    <xf numFmtId="0" fontId="7" fillId="0" borderId="0" xfId="0" applyNumberFormat="1" applyFont="1" applyBorder="1" applyAlignment="1">
      <alignment horizontal="right"/>
    </xf>
    <xf numFmtId="3" fontId="7" fillId="0" borderId="0" xfId="0" applyNumberFormat="1" applyFont="1" applyBorder="1" applyAlignment="1">
      <alignment horizontal="right"/>
    </xf>
    <xf numFmtId="4" fontId="7" fillId="0" borderId="1" xfId="0" applyNumberFormat="1" applyFont="1" applyBorder="1" applyAlignment="1">
      <alignment horizontal="right"/>
    </xf>
    <xf numFmtId="4" fontId="7" fillId="0" borderId="0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3" fontId="15" fillId="0" borderId="0" xfId="0" applyNumberFormat="1" applyFont="1" applyBorder="1" applyAlignment="1">
      <alignment horizontal="right"/>
    </xf>
    <xf numFmtId="166" fontId="15" fillId="0" borderId="0" xfId="0" applyNumberFormat="1" applyFont="1" applyBorder="1" applyAlignment="1">
      <alignment horizontal="right"/>
    </xf>
    <xf numFmtId="3" fontId="18" fillId="0" borderId="0" xfId="0" applyNumberFormat="1" applyFont="1" applyBorder="1" applyAlignment="1">
      <alignment horizontal="right"/>
    </xf>
    <xf numFmtId="166" fontId="18" fillId="0" borderId="0" xfId="0" applyNumberFormat="1" applyFont="1" applyBorder="1" applyAlignment="1">
      <alignment horizontal="right"/>
    </xf>
    <xf numFmtId="3" fontId="7" fillId="0" borderId="1" xfId="0" applyNumberFormat="1" applyFont="1" applyBorder="1" applyAlignment="1">
      <alignment horizontal="right"/>
    </xf>
    <xf numFmtId="3" fontId="11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right" vertical="center" wrapText="1"/>
    </xf>
    <xf numFmtId="0" fontId="14" fillId="0" borderId="0" xfId="0" applyFont="1" applyAlignment="1">
      <alignment horizontal="right"/>
    </xf>
    <xf numFmtId="0" fontId="7" fillId="0" borderId="1" xfId="0" applyFont="1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8" xfId="0" applyBorder="1" applyAlignment="1">
      <alignment horizontal="right"/>
    </xf>
    <xf numFmtId="174" fontId="7" fillId="0" borderId="0" xfId="0" applyNumberFormat="1" applyFont="1" applyBorder="1" applyAlignment="1">
      <alignment horizontal="right"/>
    </xf>
    <xf numFmtId="174" fontId="0" fillId="0" borderId="0" xfId="0" applyNumberFormat="1" applyBorder="1" applyAlignment="1">
      <alignment horizontal="right"/>
    </xf>
    <xf numFmtId="49" fontId="0" fillId="0" borderId="0" xfId="0" applyNumberFormat="1" applyAlignment="1">
      <alignment horizontal="right"/>
    </xf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4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363</c:v>
              </c:pt>
              <c:pt idx="1">
                <c:v>6644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dLbl>
              <c:idx val="5"/>
              <c:layout>
                <c:manualLayout>
                  <c:x val="-9.3999465073043784E-2"/>
                  <c:y val="1.254057004917452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8-476E-B5C6-5A03505ACE8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SOL</c:v>
              </c:pt>
              <c:pt idx="4">
                <c:v>LINK</c:v>
              </c:pt>
              <c:pt idx="5">
                <c:v>HYPE</c:v>
              </c:pt>
            </c:strLit>
          </c:cat>
          <c:val>
            <c:numLit>
              <c:formatCode>General</c:formatCode>
              <c:ptCount val="6"/>
              <c:pt idx="0">
                <c:v>3495</c:v>
              </c:pt>
              <c:pt idx="1">
                <c:v>644</c:v>
              </c:pt>
              <c:pt idx="2">
                <c:v>263</c:v>
              </c:pt>
              <c:pt idx="3">
                <c:v>1583</c:v>
              </c:pt>
              <c:pt idx="4">
                <c:v>43</c:v>
              </c:pt>
              <c:pt idx="5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9"/>
              <c:pt idx="0">
                <c:v>ALGO</c:v>
              </c:pt>
              <c:pt idx="1">
                <c:v>NEAR</c:v>
              </c:pt>
              <c:pt idx="2">
                <c:v>WLD</c:v>
              </c:pt>
              <c:pt idx="3">
                <c:v>ONDO</c:v>
              </c:pt>
              <c:pt idx="4">
                <c:v>UNI</c:v>
              </c:pt>
              <c:pt idx="5">
                <c:v>INJ</c:v>
              </c:pt>
              <c:pt idx="6">
                <c:v>MNT</c:v>
              </c:pt>
              <c:pt idx="7">
                <c:v>ARB</c:v>
              </c:pt>
              <c:pt idx="8">
                <c:v>ASTER</c:v>
              </c:pt>
            </c:strLit>
          </c:cat>
          <c:val>
            <c:numLit>
              <c:formatCode>General</c:formatCode>
              <c:ptCount val="9"/>
              <c:pt idx="0">
                <c:v>27</c:v>
              </c:pt>
              <c:pt idx="1">
                <c:v>22</c:v>
              </c:pt>
              <c:pt idx="2">
                <c:v>84</c:v>
              </c:pt>
              <c:pt idx="3">
                <c:v>55</c:v>
              </c:pt>
              <c:pt idx="4">
                <c:v>23</c:v>
              </c:pt>
              <c:pt idx="5">
                <c:v>20</c:v>
              </c:pt>
              <c:pt idx="6">
                <c:v>137</c:v>
              </c:pt>
              <c:pt idx="7">
                <c:v>22</c:v>
              </c:pt>
              <c:pt idx="8">
                <c:v>154</c:v>
              </c:pt>
            </c:numLit>
          </c:val>
          <c:extLst>
            <c:ext xmlns:c16="http://schemas.microsoft.com/office/drawing/2014/chart" uri="{C3380CC4-5D6E-409C-BE32-E72D297353CC}">
              <c16:uniqueId val="{00000000-EB06-4619-B985-06B6F4642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No holdings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76-D288-4A98-88F4-2F1111088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6100</c:v>
              </c:pt>
              <c:pt idx="2">
                <c:v>544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NAV 3M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63"/>
            <c:bubble3D val="0"/>
            <c:spPr>
              <a:ln w="19050" cap="rnd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DE-4F47-A1DD-59F4D64B1CDD}"/>
              </c:ext>
            </c:extLst>
          </c:dPt>
          <c:dPt>
            <c:idx val="78"/>
            <c:bubble3D val="0"/>
            <c:spPr>
              <a:ln w="19050" cap="rnd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0DE-4F47-A1DD-59F4D64B1CDD}"/>
              </c:ext>
            </c:extLst>
          </c:dPt>
          <c:cat>
            <c:numRef>
              <c:f>Position!$XFC$2:$XFC$94</c:f>
              <c:numCache>
                <c:formatCode>dd/mm/yy</c:formatCode>
                <c:ptCount val="93"/>
                <c:pt idx="0">
                  <c:v>45857</c:v>
                </c:pt>
                <c:pt idx="1">
                  <c:v>45858</c:v>
                </c:pt>
                <c:pt idx="2">
                  <c:v>45859</c:v>
                </c:pt>
                <c:pt idx="3">
                  <c:v>45860</c:v>
                </c:pt>
                <c:pt idx="4">
                  <c:v>45861</c:v>
                </c:pt>
                <c:pt idx="5">
                  <c:v>45862</c:v>
                </c:pt>
                <c:pt idx="6">
                  <c:v>45863</c:v>
                </c:pt>
                <c:pt idx="7">
                  <c:v>45864</c:v>
                </c:pt>
                <c:pt idx="8">
                  <c:v>45865</c:v>
                </c:pt>
                <c:pt idx="9">
                  <c:v>45866</c:v>
                </c:pt>
                <c:pt idx="10">
                  <c:v>45867</c:v>
                </c:pt>
                <c:pt idx="11">
                  <c:v>45868</c:v>
                </c:pt>
                <c:pt idx="12">
                  <c:v>45869</c:v>
                </c:pt>
                <c:pt idx="13">
                  <c:v>45870</c:v>
                </c:pt>
                <c:pt idx="14">
                  <c:v>45871</c:v>
                </c:pt>
                <c:pt idx="15">
                  <c:v>45872</c:v>
                </c:pt>
                <c:pt idx="16">
                  <c:v>45873</c:v>
                </c:pt>
                <c:pt idx="17">
                  <c:v>45874</c:v>
                </c:pt>
                <c:pt idx="18">
                  <c:v>45875</c:v>
                </c:pt>
                <c:pt idx="19">
                  <c:v>45876</c:v>
                </c:pt>
                <c:pt idx="20">
                  <c:v>45877</c:v>
                </c:pt>
                <c:pt idx="21">
                  <c:v>45878</c:v>
                </c:pt>
                <c:pt idx="22">
                  <c:v>45879</c:v>
                </c:pt>
                <c:pt idx="23">
                  <c:v>45880</c:v>
                </c:pt>
                <c:pt idx="24">
                  <c:v>45881</c:v>
                </c:pt>
                <c:pt idx="25">
                  <c:v>45882</c:v>
                </c:pt>
                <c:pt idx="26">
                  <c:v>45883</c:v>
                </c:pt>
                <c:pt idx="27">
                  <c:v>45884</c:v>
                </c:pt>
                <c:pt idx="28">
                  <c:v>45885</c:v>
                </c:pt>
                <c:pt idx="29">
                  <c:v>45886</c:v>
                </c:pt>
                <c:pt idx="30">
                  <c:v>45887</c:v>
                </c:pt>
                <c:pt idx="31">
                  <c:v>45888</c:v>
                </c:pt>
                <c:pt idx="32">
                  <c:v>45889</c:v>
                </c:pt>
                <c:pt idx="33">
                  <c:v>45890</c:v>
                </c:pt>
                <c:pt idx="34">
                  <c:v>45891</c:v>
                </c:pt>
                <c:pt idx="35">
                  <c:v>45892</c:v>
                </c:pt>
                <c:pt idx="36">
                  <c:v>45893</c:v>
                </c:pt>
                <c:pt idx="37">
                  <c:v>45894</c:v>
                </c:pt>
                <c:pt idx="38">
                  <c:v>45895</c:v>
                </c:pt>
                <c:pt idx="39">
                  <c:v>45896</c:v>
                </c:pt>
                <c:pt idx="40">
                  <c:v>45897</c:v>
                </c:pt>
                <c:pt idx="41">
                  <c:v>45898</c:v>
                </c:pt>
                <c:pt idx="42">
                  <c:v>45899</c:v>
                </c:pt>
                <c:pt idx="43">
                  <c:v>45900</c:v>
                </c:pt>
                <c:pt idx="44">
                  <c:v>45901</c:v>
                </c:pt>
                <c:pt idx="45">
                  <c:v>45902</c:v>
                </c:pt>
                <c:pt idx="46">
                  <c:v>45903</c:v>
                </c:pt>
                <c:pt idx="47">
                  <c:v>45904</c:v>
                </c:pt>
                <c:pt idx="48">
                  <c:v>45905</c:v>
                </c:pt>
                <c:pt idx="49">
                  <c:v>45906</c:v>
                </c:pt>
                <c:pt idx="50">
                  <c:v>45907</c:v>
                </c:pt>
                <c:pt idx="51">
                  <c:v>45908</c:v>
                </c:pt>
                <c:pt idx="52">
                  <c:v>45909</c:v>
                </c:pt>
                <c:pt idx="53">
                  <c:v>45910</c:v>
                </c:pt>
                <c:pt idx="54">
                  <c:v>45911</c:v>
                </c:pt>
                <c:pt idx="55">
                  <c:v>45912</c:v>
                </c:pt>
                <c:pt idx="56">
                  <c:v>45913</c:v>
                </c:pt>
                <c:pt idx="57">
                  <c:v>45914</c:v>
                </c:pt>
                <c:pt idx="58">
                  <c:v>45915</c:v>
                </c:pt>
                <c:pt idx="59">
                  <c:v>45916</c:v>
                </c:pt>
                <c:pt idx="60">
                  <c:v>45917</c:v>
                </c:pt>
                <c:pt idx="61">
                  <c:v>45918</c:v>
                </c:pt>
                <c:pt idx="62">
                  <c:v>45919</c:v>
                </c:pt>
                <c:pt idx="63">
                  <c:v>45920</c:v>
                </c:pt>
                <c:pt idx="64">
                  <c:v>45921</c:v>
                </c:pt>
                <c:pt idx="65">
                  <c:v>45922</c:v>
                </c:pt>
                <c:pt idx="66">
                  <c:v>45923</c:v>
                </c:pt>
                <c:pt idx="67">
                  <c:v>45924</c:v>
                </c:pt>
                <c:pt idx="68">
                  <c:v>45925</c:v>
                </c:pt>
                <c:pt idx="69">
                  <c:v>45926</c:v>
                </c:pt>
                <c:pt idx="70">
                  <c:v>45927</c:v>
                </c:pt>
                <c:pt idx="71">
                  <c:v>45928</c:v>
                </c:pt>
                <c:pt idx="72">
                  <c:v>45929</c:v>
                </c:pt>
                <c:pt idx="73">
                  <c:v>45930</c:v>
                </c:pt>
                <c:pt idx="74">
                  <c:v>45931</c:v>
                </c:pt>
                <c:pt idx="75">
                  <c:v>45932</c:v>
                </c:pt>
                <c:pt idx="76">
                  <c:v>45933</c:v>
                </c:pt>
                <c:pt idx="77">
                  <c:v>45934</c:v>
                </c:pt>
                <c:pt idx="78">
                  <c:v>45935</c:v>
                </c:pt>
                <c:pt idx="79">
                  <c:v>45936</c:v>
                </c:pt>
                <c:pt idx="80">
                  <c:v>45937</c:v>
                </c:pt>
                <c:pt idx="81">
                  <c:v>45938</c:v>
                </c:pt>
                <c:pt idx="82">
                  <c:v>45939</c:v>
                </c:pt>
                <c:pt idx="83">
                  <c:v>45940</c:v>
                </c:pt>
                <c:pt idx="84">
                  <c:v>45941</c:v>
                </c:pt>
                <c:pt idx="85">
                  <c:v>45942</c:v>
                </c:pt>
                <c:pt idx="86">
                  <c:v>45943</c:v>
                </c:pt>
                <c:pt idx="87">
                  <c:v>45944</c:v>
                </c:pt>
                <c:pt idx="88">
                  <c:v>45945</c:v>
                </c:pt>
                <c:pt idx="89">
                  <c:v>45946</c:v>
                </c:pt>
                <c:pt idx="90">
                  <c:v>45947</c:v>
                </c:pt>
                <c:pt idx="91">
                  <c:v>45948</c:v>
                </c:pt>
                <c:pt idx="92">
                  <c:v>45949</c:v>
                </c:pt>
              </c:numCache>
            </c:numRef>
          </c:cat>
          <c:val>
            <c:numLit>
              <c:formatCode>General</c:formatCode>
              <c:ptCount val="93"/>
              <c:pt idx="0">
                <c:v>5567</c:v>
              </c:pt>
              <c:pt idx="1">
                <c:v>5659</c:v>
              </c:pt>
              <c:pt idx="2">
                <c:v>5663</c:v>
              </c:pt>
              <c:pt idx="3">
                <c:v>5654</c:v>
              </c:pt>
              <c:pt idx="4">
                <c:v>5588</c:v>
              </c:pt>
              <c:pt idx="5">
                <c:v>5632</c:v>
              </c:pt>
              <c:pt idx="6">
                <c:v>5642</c:v>
              </c:pt>
              <c:pt idx="7">
                <c:v>5651</c:v>
              </c:pt>
              <c:pt idx="8">
                <c:v>5724</c:v>
              </c:pt>
              <c:pt idx="9">
                <c:v>5683</c:v>
              </c:pt>
              <c:pt idx="10">
                <c:v>5680</c:v>
              </c:pt>
              <c:pt idx="11">
                <c:v>5689</c:v>
              </c:pt>
              <c:pt idx="12">
                <c:v>5627</c:v>
              </c:pt>
              <c:pt idx="13">
                <c:v>5120</c:v>
              </c:pt>
              <c:pt idx="14">
                <c:v>5017</c:v>
              </c:pt>
              <c:pt idx="15">
                <c:v>5130</c:v>
              </c:pt>
              <c:pt idx="16">
                <c:v>5327</c:v>
              </c:pt>
              <c:pt idx="17">
                <c:v>5203</c:v>
              </c:pt>
              <c:pt idx="18">
                <c:v>5283</c:v>
              </c:pt>
              <c:pt idx="19">
                <c:v>5505</c:v>
              </c:pt>
              <c:pt idx="20">
                <c:v>5582</c:v>
              </c:pt>
              <c:pt idx="21">
                <c:v>5761</c:v>
              </c:pt>
              <c:pt idx="22">
                <c:v>5767</c:v>
              </c:pt>
              <c:pt idx="23">
                <c:v>5680</c:v>
              </c:pt>
              <c:pt idx="24">
                <c:v>6035</c:v>
              </c:pt>
              <c:pt idx="25">
                <c:v>6221</c:v>
              </c:pt>
              <c:pt idx="26">
                <c:v>6028</c:v>
              </c:pt>
              <c:pt idx="27">
                <c:v>5933</c:v>
              </c:pt>
              <c:pt idx="28">
                <c:v>5945</c:v>
              </c:pt>
              <c:pt idx="29">
                <c:v>6015</c:v>
              </c:pt>
              <c:pt idx="30">
                <c:v>5851</c:v>
              </c:pt>
              <c:pt idx="31">
                <c:v>5605</c:v>
              </c:pt>
              <c:pt idx="32">
                <c:v>5881</c:v>
              </c:pt>
              <c:pt idx="33">
                <c:v>5735</c:v>
              </c:pt>
              <c:pt idx="34">
                <c:v>6302</c:v>
              </c:pt>
              <c:pt idx="35">
                <c:v>6259</c:v>
              </c:pt>
              <c:pt idx="36">
                <c:v>6253</c:v>
              </c:pt>
              <c:pt idx="37">
                <c:v>5832</c:v>
              </c:pt>
              <c:pt idx="38">
                <c:v>6053</c:v>
              </c:pt>
              <c:pt idx="39">
                <c:v>6006</c:v>
              </c:pt>
              <c:pt idx="40">
                <c:v>6083</c:v>
              </c:pt>
              <c:pt idx="41">
                <c:v>5905</c:v>
              </c:pt>
              <c:pt idx="42">
                <c:v>5903</c:v>
              </c:pt>
              <c:pt idx="43">
                <c:v>5890</c:v>
              </c:pt>
              <c:pt idx="44">
                <c:v>5808</c:v>
              </c:pt>
              <c:pt idx="45">
                <c:v>5901</c:v>
              </c:pt>
              <c:pt idx="46">
                <c:v>5988</c:v>
              </c:pt>
              <c:pt idx="47">
                <c:v>5824</c:v>
              </c:pt>
              <c:pt idx="48">
                <c:v>5858</c:v>
              </c:pt>
              <c:pt idx="49">
                <c:v>5827</c:v>
              </c:pt>
              <c:pt idx="50">
                <c:v>5901</c:v>
              </c:pt>
              <c:pt idx="51">
                <c:v>6008</c:v>
              </c:pt>
              <c:pt idx="52">
                <c:v>6074</c:v>
              </c:pt>
              <c:pt idx="53">
                <c:v>6165</c:v>
              </c:pt>
              <c:pt idx="54">
                <c:v>6266</c:v>
              </c:pt>
              <c:pt idx="55">
                <c:v>6509</c:v>
              </c:pt>
              <c:pt idx="56">
                <c:v>6525</c:v>
              </c:pt>
              <c:pt idx="57">
                <c:v>6426</c:v>
              </c:pt>
              <c:pt idx="58">
                <c:v>6321</c:v>
              </c:pt>
              <c:pt idx="59">
                <c:v>6360</c:v>
              </c:pt>
              <c:pt idx="60">
                <c:v>6508</c:v>
              </c:pt>
              <c:pt idx="61">
                <c:v>6535</c:v>
              </c:pt>
              <c:pt idx="62">
                <c:v>6347</c:v>
              </c:pt>
              <c:pt idx="63">
                <c:v>6392</c:v>
              </c:pt>
              <c:pt idx="64">
                <c:v>6327</c:v>
              </c:pt>
              <c:pt idx="65">
                <c:v>6021</c:v>
              </c:pt>
              <c:pt idx="66">
                <c:v>5957</c:v>
              </c:pt>
              <c:pt idx="67">
                <c:v>5953</c:v>
              </c:pt>
              <c:pt idx="68">
                <c:v>5581</c:v>
              </c:pt>
              <c:pt idx="69">
                <c:v>5789</c:v>
              </c:pt>
              <c:pt idx="70">
                <c:v>5766</c:v>
              </c:pt>
              <c:pt idx="71">
                <c:v>5954</c:v>
              </c:pt>
              <c:pt idx="72">
                <c:v>6641</c:v>
              </c:pt>
              <c:pt idx="73">
                <c:v>6531</c:v>
              </c:pt>
              <c:pt idx="74">
                <c:v>6834</c:v>
              </c:pt>
              <c:pt idx="75">
                <c:v>7082</c:v>
              </c:pt>
              <c:pt idx="76">
                <c:v>7138</c:v>
              </c:pt>
              <c:pt idx="77">
                <c:v>7043</c:v>
              </c:pt>
              <c:pt idx="78">
                <c:v>7084</c:v>
              </c:pt>
              <c:pt idx="79">
                <c:v>7326</c:v>
              </c:pt>
              <c:pt idx="80">
                <c:v>7030</c:v>
              </c:pt>
              <c:pt idx="81">
                <c:v>7206</c:v>
              </c:pt>
              <c:pt idx="82">
                <c:v>6909</c:v>
              </c:pt>
              <c:pt idx="83">
                <c:v>5860</c:v>
              </c:pt>
              <c:pt idx="84">
                <c:v>5715</c:v>
              </c:pt>
              <c:pt idx="85">
                <c:v>6440</c:v>
              </c:pt>
              <c:pt idx="86">
                <c:v>6617</c:v>
              </c:pt>
              <c:pt idx="87">
                <c:v>6946</c:v>
              </c:pt>
              <c:pt idx="88">
                <c:v>7203</c:v>
              </c:pt>
              <c:pt idx="89">
                <c:v>6994</c:v>
              </c:pt>
              <c:pt idx="90">
                <c:v>6824</c:v>
              </c:pt>
              <c:pt idx="91">
                <c:v>6952</c:v>
              </c:pt>
              <c:pt idx="92">
                <c:v>7006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0DE-4F47-A1DD-59F4D64B1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360304"/>
        <c:axId val="1344347824"/>
      </c:lineChart>
      <c:dateAx>
        <c:axId val="1344360304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4347824"/>
        <c:crosses val="autoZero"/>
        <c:auto val="0"/>
        <c:lblOffset val="100"/>
        <c:baseTimeUnit val="days"/>
      </c:dateAx>
      <c:valAx>
        <c:axId val="1344347824"/>
        <c:scaling>
          <c:orientation val="minMax"/>
          <c:max val="8000"/>
          <c:min val="450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436030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PROFIT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Position!$XFC$2:$XFC$94</c:f>
              <c:numCache>
                <c:formatCode>dd/mm/yy</c:formatCode>
                <c:ptCount val="93"/>
                <c:pt idx="0">
                  <c:v>45857</c:v>
                </c:pt>
                <c:pt idx="1">
                  <c:v>45858</c:v>
                </c:pt>
                <c:pt idx="2">
                  <c:v>45859</c:v>
                </c:pt>
                <c:pt idx="3">
                  <c:v>45860</c:v>
                </c:pt>
                <c:pt idx="4">
                  <c:v>45861</c:v>
                </c:pt>
                <c:pt idx="5">
                  <c:v>45862</c:v>
                </c:pt>
                <c:pt idx="6">
                  <c:v>45863</c:v>
                </c:pt>
                <c:pt idx="7">
                  <c:v>45864</c:v>
                </c:pt>
                <c:pt idx="8">
                  <c:v>45865</c:v>
                </c:pt>
                <c:pt idx="9">
                  <c:v>45866</c:v>
                </c:pt>
                <c:pt idx="10">
                  <c:v>45867</c:v>
                </c:pt>
                <c:pt idx="11">
                  <c:v>45868</c:v>
                </c:pt>
                <c:pt idx="12">
                  <c:v>45869</c:v>
                </c:pt>
                <c:pt idx="13">
                  <c:v>45870</c:v>
                </c:pt>
                <c:pt idx="14">
                  <c:v>45871</c:v>
                </c:pt>
                <c:pt idx="15">
                  <c:v>45872</c:v>
                </c:pt>
                <c:pt idx="16">
                  <c:v>45873</c:v>
                </c:pt>
                <c:pt idx="17">
                  <c:v>45874</c:v>
                </c:pt>
                <c:pt idx="18">
                  <c:v>45875</c:v>
                </c:pt>
                <c:pt idx="19">
                  <c:v>45876</c:v>
                </c:pt>
                <c:pt idx="20">
                  <c:v>45877</c:v>
                </c:pt>
                <c:pt idx="21">
                  <c:v>45878</c:v>
                </c:pt>
                <c:pt idx="22">
                  <c:v>45879</c:v>
                </c:pt>
                <c:pt idx="23">
                  <c:v>45880</c:v>
                </c:pt>
                <c:pt idx="24">
                  <c:v>45881</c:v>
                </c:pt>
                <c:pt idx="25">
                  <c:v>45882</c:v>
                </c:pt>
                <c:pt idx="26">
                  <c:v>45883</c:v>
                </c:pt>
                <c:pt idx="27">
                  <c:v>45884</c:v>
                </c:pt>
                <c:pt idx="28">
                  <c:v>45885</c:v>
                </c:pt>
                <c:pt idx="29">
                  <c:v>45886</c:v>
                </c:pt>
                <c:pt idx="30">
                  <c:v>45887</c:v>
                </c:pt>
                <c:pt idx="31">
                  <c:v>45888</c:v>
                </c:pt>
                <c:pt idx="32">
                  <c:v>45889</c:v>
                </c:pt>
                <c:pt idx="33">
                  <c:v>45890</c:v>
                </c:pt>
                <c:pt idx="34">
                  <c:v>45891</c:v>
                </c:pt>
                <c:pt idx="35">
                  <c:v>45892</c:v>
                </c:pt>
                <c:pt idx="36">
                  <c:v>45893</c:v>
                </c:pt>
                <c:pt idx="37">
                  <c:v>45894</c:v>
                </c:pt>
                <c:pt idx="38">
                  <c:v>45895</c:v>
                </c:pt>
                <c:pt idx="39">
                  <c:v>45896</c:v>
                </c:pt>
                <c:pt idx="40">
                  <c:v>45897</c:v>
                </c:pt>
                <c:pt idx="41">
                  <c:v>45898</c:v>
                </c:pt>
                <c:pt idx="42">
                  <c:v>45899</c:v>
                </c:pt>
                <c:pt idx="43">
                  <c:v>45900</c:v>
                </c:pt>
                <c:pt idx="44">
                  <c:v>45901</c:v>
                </c:pt>
                <c:pt idx="45">
                  <c:v>45902</c:v>
                </c:pt>
                <c:pt idx="46">
                  <c:v>45903</c:v>
                </c:pt>
                <c:pt idx="47">
                  <c:v>45904</c:v>
                </c:pt>
                <c:pt idx="48">
                  <c:v>45905</c:v>
                </c:pt>
                <c:pt idx="49">
                  <c:v>45906</c:v>
                </c:pt>
                <c:pt idx="50">
                  <c:v>45907</c:v>
                </c:pt>
                <c:pt idx="51">
                  <c:v>45908</c:v>
                </c:pt>
                <c:pt idx="52">
                  <c:v>45909</c:v>
                </c:pt>
                <c:pt idx="53">
                  <c:v>45910</c:v>
                </c:pt>
                <c:pt idx="54">
                  <c:v>45911</c:v>
                </c:pt>
                <c:pt idx="55">
                  <c:v>45912</c:v>
                </c:pt>
                <c:pt idx="56">
                  <c:v>45913</c:v>
                </c:pt>
                <c:pt idx="57">
                  <c:v>45914</c:v>
                </c:pt>
                <c:pt idx="58">
                  <c:v>45915</c:v>
                </c:pt>
                <c:pt idx="59">
                  <c:v>45916</c:v>
                </c:pt>
                <c:pt idx="60">
                  <c:v>45917</c:v>
                </c:pt>
                <c:pt idx="61">
                  <c:v>45918</c:v>
                </c:pt>
                <c:pt idx="62">
                  <c:v>45919</c:v>
                </c:pt>
                <c:pt idx="63">
                  <c:v>45920</c:v>
                </c:pt>
                <c:pt idx="64">
                  <c:v>45921</c:v>
                </c:pt>
                <c:pt idx="65">
                  <c:v>45922</c:v>
                </c:pt>
                <c:pt idx="66">
                  <c:v>45923</c:v>
                </c:pt>
                <c:pt idx="67">
                  <c:v>45924</c:v>
                </c:pt>
                <c:pt idx="68">
                  <c:v>45925</c:v>
                </c:pt>
                <c:pt idx="69">
                  <c:v>45926</c:v>
                </c:pt>
                <c:pt idx="70">
                  <c:v>45927</c:v>
                </c:pt>
                <c:pt idx="71">
                  <c:v>45928</c:v>
                </c:pt>
                <c:pt idx="72">
                  <c:v>45929</c:v>
                </c:pt>
                <c:pt idx="73">
                  <c:v>45930</c:v>
                </c:pt>
                <c:pt idx="74">
                  <c:v>45931</c:v>
                </c:pt>
                <c:pt idx="75">
                  <c:v>45932</c:v>
                </c:pt>
                <c:pt idx="76">
                  <c:v>45933</c:v>
                </c:pt>
                <c:pt idx="77">
                  <c:v>45934</c:v>
                </c:pt>
                <c:pt idx="78">
                  <c:v>45935</c:v>
                </c:pt>
                <c:pt idx="79">
                  <c:v>45936</c:v>
                </c:pt>
                <c:pt idx="80">
                  <c:v>45937</c:v>
                </c:pt>
                <c:pt idx="81">
                  <c:v>45938</c:v>
                </c:pt>
                <c:pt idx="82">
                  <c:v>45939</c:v>
                </c:pt>
                <c:pt idx="83">
                  <c:v>45940</c:v>
                </c:pt>
                <c:pt idx="84">
                  <c:v>45941</c:v>
                </c:pt>
                <c:pt idx="85">
                  <c:v>45942</c:v>
                </c:pt>
                <c:pt idx="86">
                  <c:v>45943</c:v>
                </c:pt>
                <c:pt idx="87">
                  <c:v>45944</c:v>
                </c:pt>
                <c:pt idx="88">
                  <c:v>45945</c:v>
                </c:pt>
                <c:pt idx="89">
                  <c:v>45946</c:v>
                </c:pt>
                <c:pt idx="90">
                  <c:v>45947</c:v>
                </c:pt>
                <c:pt idx="91">
                  <c:v>45948</c:v>
                </c:pt>
                <c:pt idx="92">
                  <c:v>45949</c:v>
                </c:pt>
              </c:numCache>
            </c:numRef>
          </c:cat>
          <c:val>
            <c:numLit>
              <c:formatCode>General</c:formatCode>
              <c:ptCount val="93"/>
              <c:pt idx="0">
                <c:v>5567</c:v>
              </c:pt>
              <c:pt idx="1">
                <c:v>5659</c:v>
              </c:pt>
              <c:pt idx="2">
                <c:v>5663</c:v>
              </c:pt>
              <c:pt idx="3">
                <c:v>5654</c:v>
              </c:pt>
              <c:pt idx="4">
                <c:v>5588</c:v>
              </c:pt>
              <c:pt idx="5">
                <c:v>5632</c:v>
              </c:pt>
              <c:pt idx="6">
                <c:v>5642</c:v>
              </c:pt>
              <c:pt idx="7">
                <c:v>5651</c:v>
              </c:pt>
              <c:pt idx="8">
                <c:v>5724</c:v>
              </c:pt>
              <c:pt idx="9">
                <c:v>5683</c:v>
              </c:pt>
              <c:pt idx="10">
                <c:v>5680</c:v>
              </c:pt>
              <c:pt idx="11">
                <c:v>5689</c:v>
              </c:pt>
              <c:pt idx="12">
                <c:v>5627</c:v>
              </c:pt>
              <c:pt idx="13">
                <c:v>5120</c:v>
              </c:pt>
              <c:pt idx="14">
                <c:v>5017</c:v>
              </c:pt>
              <c:pt idx="15">
                <c:v>5130</c:v>
              </c:pt>
              <c:pt idx="16">
                <c:v>5327</c:v>
              </c:pt>
              <c:pt idx="17">
                <c:v>5203</c:v>
              </c:pt>
              <c:pt idx="18">
                <c:v>5283</c:v>
              </c:pt>
              <c:pt idx="19">
                <c:v>5505</c:v>
              </c:pt>
              <c:pt idx="20">
                <c:v>5582</c:v>
              </c:pt>
              <c:pt idx="21">
                <c:v>5761</c:v>
              </c:pt>
              <c:pt idx="22">
                <c:v>5767</c:v>
              </c:pt>
              <c:pt idx="23">
                <c:v>5680</c:v>
              </c:pt>
              <c:pt idx="24">
                <c:v>6035</c:v>
              </c:pt>
              <c:pt idx="25">
                <c:v>6221</c:v>
              </c:pt>
              <c:pt idx="26">
                <c:v>6028</c:v>
              </c:pt>
              <c:pt idx="27">
                <c:v>5933</c:v>
              </c:pt>
              <c:pt idx="28">
                <c:v>5945</c:v>
              </c:pt>
              <c:pt idx="29">
                <c:v>6015</c:v>
              </c:pt>
              <c:pt idx="30">
                <c:v>5851</c:v>
              </c:pt>
              <c:pt idx="31">
                <c:v>5605</c:v>
              </c:pt>
              <c:pt idx="32">
                <c:v>5881</c:v>
              </c:pt>
              <c:pt idx="33">
                <c:v>5735</c:v>
              </c:pt>
              <c:pt idx="34">
                <c:v>6302</c:v>
              </c:pt>
              <c:pt idx="35">
                <c:v>6259</c:v>
              </c:pt>
              <c:pt idx="36">
                <c:v>6253</c:v>
              </c:pt>
              <c:pt idx="37">
                <c:v>5832</c:v>
              </c:pt>
              <c:pt idx="38">
                <c:v>6053</c:v>
              </c:pt>
              <c:pt idx="39">
                <c:v>6006</c:v>
              </c:pt>
              <c:pt idx="40">
                <c:v>6083</c:v>
              </c:pt>
              <c:pt idx="41">
                <c:v>5905</c:v>
              </c:pt>
              <c:pt idx="42">
                <c:v>5903</c:v>
              </c:pt>
              <c:pt idx="43">
                <c:v>5890</c:v>
              </c:pt>
              <c:pt idx="44">
                <c:v>5808</c:v>
              </c:pt>
              <c:pt idx="45">
                <c:v>5901</c:v>
              </c:pt>
              <c:pt idx="46">
                <c:v>5988</c:v>
              </c:pt>
              <c:pt idx="47">
                <c:v>5824</c:v>
              </c:pt>
              <c:pt idx="48">
                <c:v>5858</c:v>
              </c:pt>
              <c:pt idx="49">
                <c:v>5827</c:v>
              </c:pt>
              <c:pt idx="50">
                <c:v>5901</c:v>
              </c:pt>
              <c:pt idx="51">
                <c:v>6008</c:v>
              </c:pt>
              <c:pt idx="52">
                <c:v>6074</c:v>
              </c:pt>
              <c:pt idx="53">
                <c:v>6165</c:v>
              </c:pt>
              <c:pt idx="54">
                <c:v>6266</c:v>
              </c:pt>
              <c:pt idx="55">
                <c:v>6509</c:v>
              </c:pt>
              <c:pt idx="56">
                <c:v>6525</c:v>
              </c:pt>
              <c:pt idx="57">
                <c:v>6426</c:v>
              </c:pt>
              <c:pt idx="58">
                <c:v>6321</c:v>
              </c:pt>
              <c:pt idx="59">
                <c:v>6360</c:v>
              </c:pt>
              <c:pt idx="60">
                <c:v>6508</c:v>
              </c:pt>
              <c:pt idx="61">
                <c:v>6535</c:v>
              </c:pt>
              <c:pt idx="62">
                <c:v>6347</c:v>
              </c:pt>
              <c:pt idx="63">
                <c:v>6392</c:v>
              </c:pt>
              <c:pt idx="64">
                <c:v>6327</c:v>
              </c:pt>
              <c:pt idx="65">
                <c:v>6021</c:v>
              </c:pt>
              <c:pt idx="66">
                <c:v>5957</c:v>
              </c:pt>
              <c:pt idx="67">
                <c:v>5953</c:v>
              </c:pt>
              <c:pt idx="68">
                <c:v>5581</c:v>
              </c:pt>
              <c:pt idx="69">
                <c:v>5789</c:v>
              </c:pt>
              <c:pt idx="70">
                <c:v>5766</c:v>
              </c:pt>
              <c:pt idx="71">
                <c:v>5954</c:v>
              </c:pt>
              <c:pt idx="72">
                <c:v>6641</c:v>
              </c:pt>
              <c:pt idx="73">
                <c:v>6531</c:v>
              </c:pt>
              <c:pt idx="74">
                <c:v>6834</c:v>
              </c:pt>
              <c:pt idx="75">
                <c:v>7082</c:v>
              </c:pt>
              <c:pt idx="76">
                <c:v>7138</c:v>
              </c:pt>
              <c:pt idx="77">
                <c:v>7043</c:v>
              </c:pt>
              <c:pt idx="78">
                <c:v>7084</c:v>
              </c:pt>
              <c:pt idx="79">
                <c:v>7326</c:v>
              </c:pt>
              <c:pt idx="80">
                <c:v>7030</c:v>
              </c:pt>
              <c:pt idx="81">
                <c:v>7206</c:v>
              </c:pt>
              <c:pt idx="82">
                <c:v>6909</c:v>
              </c:pt>
              <c:pt idx="83">
                <c:v>5860</c:v>
              </c:pt>
              <c:pt idx="84">
                <c:v>5715</c:v>
              </c:pt>
              <c:pt idx="85">
                <c:v>6440</c:v>
              </c:pt>
              <c:pt idx="86">
                <c:v>6617</c:v>
              </c:pt>
              <c:pt idx="87">
                <c:v>6946</c:v>
              </c:pt>
              <c:pt idx="88">
                <c:v>7203</c:v>
              </c:pt>
              <c:pt idx="89">
                <c:v>6994</c:v>
              </c:pt>
              <c:pt idx="90">
                <c:v>6824</c:v>
              </c:pt>
              <c:pt idx="91">
                <c:v>6952</c:v>
              </c:pt>
              <c:pt idx="92">
                <c:v>6859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4CB-4BEC-B729-5089D51DAD0A}"/>
            </c:ext>
          </c:extLst>
        </c:ser>
        <c:ser>
          <c:idx val="0"/>
          <c:order val="1"/>
          <c:marker>
            <c:symbol val="none"/>
          </c:marker>
          <c:cat>
            <c:numRef>
              <c:f>Position!$XFC$2:$XFC$94</c:f>
              <c:numCache>
                <c:formatCode>dd/mm/yy</c:formatCode>
                <c:ptCount val="93"/>
                <c:pt idx="0">
                  <c:v>45857</c:v>
                </c:pt>
                <c:pt idx="1">
                  <c:v>45858</c:v>
                </c:pt>
                <c:pt idx="2">
                  <c:v>45859</c:v>
                </c:pt>
                <c:pt idx="3">
                  <c:v>45860</c:v>
                </c:pt>
                <c:pt idx="4">
                  <c:v>45861</c:v>
                </c:pt>
                <c:pt idx="5">
                  <c:v>45862</c:v>
                </c:pt>
                <c:pt idx="6">
                  <c:v>45863</c:v>
                </c:pt>
                <c:pt idx="7">
                  <c:v>45864</c:v>
                </c:pt>
                <c:pt idx="8">
                  <c:v>45865</c:v>
                </c:pt>
                <c:pt idx="9">
                  <c:v>45866</c:v>
                </c:pt>
                <c:pt idx="10">
                  <c:v>45867</c:v>
                </c:pt>
                <c:pt idx="11">
                  <c:v>45868</c:v>
                </c:pt>
                <c:pt idx="12">
                  <c:v>45869</c:v>
                </c:pt>
                <c:pt idx="13">
                  <c:v>45870</c:v>
                </c:pt>
                <c:pt idx="14">
                  <c:v>45871</c:v>
                </c:pt>
                <c:pt idx="15">
                  <c:v>45872</c:v>
                </c:pt>
                <c:pt idx="16">
                  <c:v>45873</c:v>
                </c:pt>
                <c:pt idx="17">
                  <c:v>45874</c:v>
                </c:pt>
                <c:pt idx="18">
                  <c:v>45875</c:v>
                </c:pt>
                <c:pt idx="19">
                  <c:v>45876</c:v>
                </c:pt>
                <c:pt idx="20">
                  <c:v>45877</c:v>
                </c:pt>
                <c:pt idx="21">
                  <c:v>45878</c:v>
                </c:pt>
                <c:pt idx="22">
                  <c:v>45879</c:v>
                </c:pt>
                <c:pt idx="23">
                  <c:v>45880</c:v>
                </c:pt>
                <c:pt idx="24">
                  <c:v>45881</c:v>
                </c:pt>
                <c:pt idx="25">
                  <c:v>45882</c:v>
                </c:pt>
                <c:pt idx="26">
                  <c:v>45883</c:v>
                </c:pt>
                <c:pt idx="27">
                  <c:v>45884</c:v>
                </c:pt>
                <c:pt idx="28">
                  <c:v>45885</c:v>
                </c:pt>
                <c:pt idx="29">
                  <c:v>45886</c:v>
                </c:pt>
                <c:pt idx="30">
                  <c:v>45887</c:v>
                </c:pt>
                <c:pt idx="31">
                  <c:v>45888</c:v>
                </c:pt>
                <c:pt idx="32">
                  <c:v>45889</c:v>
                </c:pt>
                <c:pt idx="33">
                  <c:v>45890</c:v>
                </c:pt>
                <c:pt idx="34">
                  <c:v>45891</c:v>
                </c:pt>
                <c:pt idx="35">
                  <c:v>45892</c:v>
                </c:pt>
                <c:pt idx="36">
                  <c:v>45893</c:v>
                </c:pt>
                <c:pt idx="37">
                  <c:v>45894</c:v>
                </c:pt>
                <c:pt idx="38">
                  <c:v>45895</c:v>
                </c:pt>
                <c:pt idx="39">
                  <c:v>45896</c:v>
                </c:pt>
                <c:pt idx="40">
                  <c:v>45897</c:v>
                </c:pt>
                <c:pt idx="41">
                  <c:v>45898</c:v>
                </c:pt>
                <c:pt idx="42">
                  <c:v>45899</c:v>
                </c:pt>
                <c:pt idx="43">
                  <c:v>45900</c:v>
                </c:pt>
                <c:pt idx="44">
                  <c:v>45901</c:v>
                </c:pt>
                <c:pt idx="45">
                  <c:v>45902</c:v>
                </c:pt>
                <c:pt idx="46">
                  <c:v>45903</c:v>
                </c:pt>
                <c:pt idx="47">
                  <c:v>45904</c:v>
                </c:pt>
                <c:pt idx="48">
                  <c:v>45905</c:v>
                </c:pt>
                <c:pt idx="49">
                  <c:v>45906</c:v>
                </c:pt>
                <c:pt idx="50">
                  <c:v>45907</c:v>
                </c:pt>
                <c:pt idx="51">
                  <c:v>45908</c:v>
                </c:pt>
                <c:pt idx="52">
                  <c:v>45909</c:v>
                </c:pt>
                <c:pt idx="53">
                  <c:v>45910</c:v>
                </c:pt>
                <c:pt idx="54">
                  <c:v>45911</c:v>
                </c:pt>
                <c:pt idx="55">
                  <c:v>45912</c:v>
                </c:pt>
                <c:pt idx="56">
                  <c:v>45913</c:v>
                </c:pt>
                <c:pt idx="57">
                  <c:v>45914</c:v>
                </c:pt>
                <c:pt idx="58">
                  <c:v>45915</c:v>
                </c:pt>
                <c:pt idx="59">
                  <c:v>45916</c:v>
                </c:pt>
                <c:pt idx="60">
                  <c:v>45917</c:v>
                </c:pt>
                <c:pt idx="61">
                  <c:v>45918</c:v>
                </c:pt>
                <c:pt idx="62">
                  <c:v>45919</c:v>
                </c:pt>
                <c:pt idx="63">
                  <c:v>45920</c:v>
                </c:pt>
                <c:pt idx="64">
                  <c:v>45921</c:v>
                </c:pt>
                <c:pt idx="65">
                  <c:v>45922</c:v>
                </c:pt>
                <c:pt idx="66">
                  <c:v>45923</c:v>
                </c:pt>
                <c:pt idx="67">
                  <c:v>45924</c:v>
                </c:pt>
                <c:pt idx="68">
                  <c:v>45925</c:v>
                </c:pt>
                <c:pt idx="69">
                  <c:v>45926</c:v>
                </c:pt>
                <c:pt idx="70">
                  <c:v>45927</c:v>
                </c:pt>
                <c:pt idx="71">
                  <c:v>45928</c:v>
                </c:pt>
                <c:pt idx="72">
                  <c:v>45929</c:v>
                </c:pt>
                <c:pt idx="73">
                  <c:v>45930</c:v>
                </c:pt>
                <c:pt idx="74">
                  <c:v>45931</c:v>
                </c:pt>
                <c:pt idx="75">
                  <c:v>45932</c:v>
                </c:pt>
                <c:pt idx="76">
                  <c:v>45933</c:v>
                </c:pt>
                <c:pt idx="77">
                  <c:v>45934</c:v>
                </c:pt>
                <c:pt idx="78">
                  <c:v>45935</c:v>
                </c:pt>
                <c:pt idx="79">
                  <c:v>45936</c:v>
                </c:pt>
                <c:pt idx="80">
                  <c:v>45937</c:v>
                </c:pt>
                <c:pt idx="81">
                  <c:v>45938</c:v>
                </c:pt>
                <c:pt idx="82">
                  <c:v>45939</c:v>
                </c:pt>
                <c:pt idx="83">
                  <c:v>45940</c:v>
                </c:pt>
                <c:pt idx="84">
                  <c:v>45941</c:v>
                </c:pt>
                <c:pt idx="85">
                  <c:v>45942</c:v>
                </c:pt>
                <c:pt idx="86">
                  <c:v>45943</c:v>
                </c:pt>
                <c:pt idx="87">
                  <c:v>45944</c:v>
                </c:pt>
                <c:pt idx="88">
                  <c:v>45945</c:v>
                </c:pt>
                <c:pt idx="89">
                  <c:v>45946</c:v>
                </c:pt>
                <c:pt idx="90">
                  <c:v>45947</c:v>
                </c:pt>
                <c:pt idx="91">
                  <c:v>45948</c:v>
                </c:pt>
                <c:pt idx="92">
                  <c:v>45949</c:v>
                </c:pt>
              </c:numCache>
            </c:numRef>
          </c:cat>
          <c:val>
            <c:numLit>
              <c:formatCode>General</c:formatCode>
              <c:ptCount val="93"/>
              <c:pt idx="0">
                <c:v>5567</c:v>
              </c:pt>
              <c:pt idx="1">
                <c:v>5659</c:v>
              </c:pt>
              <c:pt idx="2">
                <c:v>5663</c:v>
              </c:pt>
              <c:pt idx="3">
                <c:v>5654</c:v>
              </c:pt>
              <c:pt idx="4">
                <c:v>5588</c:v>
              </c:pt>
              <c:pt idx="5">
                <c:v>5632</c:v>
              </c:pt>
              <c:pt idx="6">
                <c:v>5642</c:v>
              </c:pt>
              <c:pt idx="7">
                <c:v>5651</c:v>
              </c:pt>
              <c:pt idx="8">
                <c:v>5724</c:v>
              </c:pt>
              <c:pt idx="9">
                <c:v>5683</c:v>
              </c:pt>
              <c:pt idx="10">
                <c:v>5680</c:v>
              </c:pt>
              <c:pt idx="11">
                <c:v>5689</c:v>
              </c:pt>
              <c:pt idx="12">
                <c:v>5627</c:v>
              </c:pt>
              <c:pt idx="13">
                <c:v>5120</c:v>
              </c:pt>
              <c:pt idx="14">
                <c:v>5017</c:v>
              </c:pt>
              <c:pt idx="15">
                <c:v>5130</c:v>
              </c:pt>
              <c:pt idx="16">
                <c:v>5327</c:v>
              </c:pt>
              <c:pt idx="17">
                <c:v>5203</c:v>
              </c:pt>
              <c:pt idx="18">
                <c:v>5283</c:v>
              </c:pt>
              <c:pt idx="19">
                <c:v>5505</c:v>
              </c:pt>
              <c:pt idx="20">
                <c:v>5582</c:v>
              </c:pt>
              <c:pt idx="21">
                <c:v>5761</c:v>
              </c:pt>
              <c:pt idx="22">
                <c:v>5767</c:v>
              </c:pt>
              <c:pt idx="23">
                <c:v>5680</c:v>
              </c:pt>
              <c:pt idx="24">
                <c:v>6035</c:v>
              </c:pt>
              <c:pt idx="25">
                <c:v>6221</c:v>
              </c:pt>
              <c:pt idx="26">
                <c:v>6028</c:v>
              </c:pt>
              <c:pt idx="27">
                <c:v>5933</c:v>
              </c:pt>
              <c:pt idx="28">
                <c:v>5945</c:v>
              </c:pt>
              <c:pt idx="29">
                <c:v>6015</c:v>
              </c:pt>
              <c:pt idx="30">
                <c:v>5851</c:v>
              </c:pt>
              <c:pt idx="31">
                <c:v>5605</c:v>
              </c:pt>
              <c:pt idx="32">
                <c:v>5881</c:v>
              </c:pt>
              <c:pt idx="33">
                <c:v>5735</c:v>
              </c:pt>
              <c:pt idx="34">
                <c:v>6302</c:v>
              </c:pt>
              <c:pt idx="35">
                <c:v>6259</c:v>
              </c:pt>
              <c:pt idx="36">
                <c:v>6253</c:v>
              </c:pt>
              <c:pt idx="37">
                <c:v>5832</c:v>
              </c:pt>
              <c:pt idx="38">
                <c:v>6053</c:v>
              </c:pt>
              <c:pt idx="39">
                <c:v>6006</c:v>
              </c:pt>
              <c:pt idx="40">
                <c:v>6083</c:v>
              </c:pt>
              <c:pt idx="41">
                <c:v>5905</c:v>
              </c:pt>
              <c:pt idx="42">
                <c:v>5903</c:v>
              </c:pt>
              <c:pt idx="43">
                <c:v>5890</c:v>
              </c:pt>
              <c:pt idx="44">
                <c:v>5808</c:v>
              </c:pt>
              <c:pt idx="45">
                <c:v>5901</c:v>
              </c:pt>
              <c:pt idx="46">
                <c:v>5988</c:v>
              </c:pt>
              <c:pt idx="47">
                <c:v>5824</c:v>
              </c:pt>
              <c:pt idx="48">
                <c:v>5858</c:v>
              </c:pt>
              <c:pt idx="49">
                <c:v>5827</c:v>
              </c:pt>
              <c:pt idx="50">
                <c:v>5901</c:v>
              </c:pt>
              <c:pt idx="51">
                <c:v>6008</c:v>
              </c:pt>
              <c:pt idx="52">
                <c:v>6074</c:v>
              </c:pt>
              <c:pt idx="53">
                <c:v>6165</c:v>
              </c:pt>
              <c:pt idx="54">
                <c:v>6266</c:v>
              </c:pt>
              <c:pt idx="55">
                <c:v>6509</c:v>
              </c:pt>
              <c:pt idx="56">
                <c:v>6525</c:v>
              </c:pt>
              <c:pt idx="57">
                <c:v>6426</c:v>
              </c:pt>
              <c:pt idx="58">
                <c:v>6321</c:v>
              </c:pt>
              <c:pt idx="59">
                <c:v>6360</c:v>
              </c:pt>
              <c:pt idx="60">
                <c:v>6508</c:v>
              </c:pt>
              <c:pt idx="61">
                <c:v>6535</c:v>
              </c:pt>
              <c:pt idx="62">
                <c:v>6347</c:v>
              </c:pt>
              <c:pt idx="63">
                <c:v>6392</c:v>
              </c:pt>
              <c:pt idx="64">
                <c:v>6327</c:v>
              </c:pt>
              <c:pt idx="65">
                <c:v>6021</c:v>
              </c:pt>
              <c:pt idx="66">
                <c:v>5957</c:v>
              </c:pt>
              <c:pt idx="67">
                <c:v>5953</c:v>
              </c:pt>
              <c:pt idx="68">
                <c:v>5581</c:v>
              </c:pt>
              <c:pt idx="69">
                <c:v>5789</c:v>
              </c:pt>
              <c:pt idx="70">
                <c:v>5766</c:v>
              </c:pt>
              <c:pt idx="71">
                <c:v>5954</c:v>
              </c:pt>
              <c:pt idx="72">
                <c:v>6641</c:v>
              </c:pt>
              <c:pt idx="73">
                <c:v>6531</c:v>
              </c:pt>
              <c:pt idx="74">
                <c:v>6834</c:v>
              </c:pt>
              <c:pt idx="75">
                <c:v>7082</c:v>
              </c:pt>
              <c:pt idx="76">
                <c:v>7138</c:v>
              </c:pt>
              <c:pt idx="77">
                <c:v>7043</c:v>
              </c:pt>
              <c:pt idx="78">
                <c:v>7084</c:v>
              </c:pt>
              <c:pt idx="79">
                <c:v>7326</c:v>
              </c:pt>
              <c:pt idx="80">
                <c:v>7030</c:v>
              </c:pt>
              <c:pt idx="81">
                <c:v>7206</c:v>
              </c:pt>
              <c:pt idx="82">
                <c:v>6909</c:v>
              </c:pt>
              <c:pt idx="83">
                <c:v>5860</c:v>
              </c:pt>
              <c:pt idx="84">
                <c:v>5715</c:v>
              </c:pt>
              <c:pt idx="85">
                <c:v>6440</c:v>
              </c:pt>
              <c:pt idx="86">
                <c:v>6617</c:v>
              </c:pt>
              <c:pt idx="87">
                <c:v>6946</c:v>
              </c:pt>
              <c:pt idx="88">
                <c:v>7203</c:v>
              </c:pt>
              <c:pt idx="89">
                <c:v>6994</c:v>
              </c:pt>
              <c:pt idx="90">
                <c:v>6824</c:v>
              </c:pt>
              <c:pt idx="91">
                <c:v>6952</c:v>
              </c:pt>
              <c:pt idx="92">
                <c:v>6859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4CB-4BEC-B729-5089D51DA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360304"/>
        <c:axId val="1344347824"/>
      </c:lineChart>
      <c:dateAx>
        <c:axId val="1344360304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47824"/>
        <c:crosses val="autoZero"/>
        <c:auto val="0"/>
        <c:lblOffset val="100"/>
        <c:baseTimeUnit val="days"/>
      </c:dateAx>
      <c:valAx>
        <c:axId val="1344347824"/>
        <c:scaling>
          <c:orientation val="minMax"/>
          <c:max val="8000"/>
          <c:min val="45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60304"/>
        <c:crosses val="autoZero"/>
        <c:crossBetween val="between"/>
      </c:valAx>
    </c:plotArea>
    <c:plotVisOnly val="0"/>
    <c:dispBlanksAs val="gap"/>
    <c:showDLblsOverMax val="0"/>
    <c:extLst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142875</xdr:rowOff>
        </xdr:from>
        <xdr:to>
          <xdr:col>7</xdr:col>
          <xdr:colOff>38100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20</xdr:col>
      <xdr:colOff>517295</xdr:colOff>
      <xdr:row>4</xdr:row>
      <xdr:rowOff>5684</xdr:rowOff>
    </xdr:from>
    <xdr:to>
      <xdr:col>23</xdr:col>
      <xdr:colOff>361776</xdr:colOff>
      <xdr:row>15</xdr:row>
      <xdr:rowOff>123926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183740</xdr:colOff>
      <xdr:row>16</xdr:row>
      <xdr:rowOff>27037</xdr:rowOff>
    </xdr:from>
    <xdr:to>
      <xdr:col>15</xdr:col>
      <xdr:colOff>343429</xdr:colOff>
      <xdr:row>27</xdr:row>
      <xdr:rowOff>145278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500715</xdr:colOff>
      <xdr:row>16</xdr:row>
      <xdr:rowOff>4377</xdr:rowOff>
    </xdr:from>
    <xdr:to>
      <xdr:col>20</xdr:col>
      <xdr:colOff>213143</xdr:colOff>
      <xdr:row>27</xdr:row>
      <xdr:rowOff>114281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20</xdr:col>
      <xdr:colOff>325840</xdr:colOff>
      <xdr:row>15</xdr:row>
      <xdr:rowOff>196660</xdr:rowOff>
    </xdr:from>
    <xdr:to>
      <xdr:col>23</xdr:col>
      <xdr:colOff>369572</xdr:colOff>
      <xdr:row>27</xdr:row>
      <xdr:rowOff>107023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161925</xdr:rowOff>
        </xdr:from>
        <xdr:to>
          <xdr:col>11</xdr:col>
          <xdr:colOff>628650</xdr:colOff>
          <xdr:row>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63380</xdr:colOff>
      <xdr:row>16</xdr:row>
      <xdr:rowOff>12318</xdr:rowOff>
    </xdr:from>
    <xdr:to>
      <xdr:col>10</xdr:col>
      <xdr:colOff>49134</xdr:colOff>
      <xdr:row>27</xdr:row>
      <xdr:rowOff>130560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76638</xdr:colOff>
      <xdr:row>4</xdr:row>
      <xdr:rowOff>17845</xdr:rowOff>
    </xdr:from>
    <xdr:to>
      <xdr:col>12</xdr:col>
      <xdr:colOff>442984</xdr:colOff>
      <xdr:row>15</xdr:row>
      <xdr:rowOff>127749</xdr:rowOff>
    </xdr:to>
    <xdr:graphicFrame macro="">
      <xdr:nvGraphicFramePr>
        <xdr:cNvPr id="2" name="NAV 3M">
          <a:extLst>
            <a:ext uri="{FF2B5EF4-FFF2-40B4-BE49-F238E27FC236}">
              <a16:creationId xmlns:a16="http://schemas.microsoft.com/office/drawing/2014/main" id="{108114FE-135E-AB68-714F-0292229C6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546652</xdr:colOff>
      <xdr:row>4</xdr:row>
      <xdr:rowOff>16565</xdr:rowOff>
    </xdr:from>
    <xdr:to>
      <xdr:col>20</xdr:col>
      <xdr:colOff>407759</xdr:colOff>
      <xdr:row>15</xdr:row>
      <xdr:rowOff>126469</xdr:rowOff>
    </xdr:to>
    <xdr:graphicFrame macro="">
      <xdr:nvGraphicFramePr>
        <xdr:cNvPr id="24" name="NAV 3M">
          <a:extLst>
            <a:ext uri="{FF2B5EF4-FFF2-40B4-BE49-F238E27FC236}">
              <a16:creationId xmlns:a16="http://schemas.microsoft.com/office/drawing/2014/main" id="{9DEF889C-580A-4AC1-9CBF-7C8DED92F5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104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3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93" customWidth="1"/>
    <col min="2" max="2" width="11.42578125" style="93" customWidth="1"/>
    <col min="3" max="16384" width="9.140625" style="93"/>
  </cols>
  <sheetData>
    <row r="2" spans="1:10" x14ac:dyDescent="0.2">
      <c r="A2" s="93" t="s">
        <v>146</v>
      </c>
      <c r="B2" s="96">
        <v>45870</v>
      </c>
    </row>
    <row r="3" spans="1:10" x14ac:dyDescent="0.2">
      <c r="A3" s="93" t="s">
        <v>147</v>
      </c>
      <c r="B3" s="96">
        <v>45899</v>
      </c>
    </row>
    <row r="5" spans="1:10" x14ac:dyDescent="0.2">
      <c r="A5" s="97"/>
      <c r="E5" s="98"/>
      <c r="J5" s="9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tabSelected="1" topLeftCell="A19" zoomScale="130" zoomScaleNormal="130" workbookViewId="0">
      <selection activeCell="V51" sqref="V51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style="48" customWidth="1"/>
    <col min="6" max="6" width="6.7109375" style="48" customWidth="1"/>
    <col min="7" max="7" width="9.42578125" style="48" bestFit="1" customWidth="1"/>
    <col min="8" max="8" width="10.28515625" style="48" customWidth="1"/>
    <col min="9" max="9" width="8.140625" style="48" bestFit="1" customWidth="1"/>
    <col min="10" max="11" width="9.42578125" style="48" bestFit="1" customWidth="1"/>
    <col min="12" max="13" width="9.5703125" style="48" bestFit="1" customWidth="1"/>
    <col min="14" max="14" width="7.140625" style="48" customWidth="1"/>
    <col min="15" max="15" width="5.7109375" style="48" bestFit="1" customWidth="1"/>
    <col min="16" max="16" width="9" style="48" bestFit="1" customWidth="1"/>
    <col min="17" max="17" width="8.140625" style="32" bestFit="1" customWidth="1"/>
    <col min="18" max="18" width="8" customWidth="1"/>
    <col min="19" max="19" width="8.7109375" customWidth="1"/>
    <col min="16383" max="16384" width="0" hidden="1" customWidth="1"/>
  </cols>
  <sheetData>
    <row r="1" spans="1:16 16383:16384" ht="15.75" customHeight="1" x14ac:dyDescent="0.25">
      <c r="A1" s="115" t="s">
        <v>664</v>
      </c>
      <c r="B1" s="116"/>
      <c r="C1" s="116"/>
      <c r="D1" s="114"/>
      <c r="E1" s="10"/>
      <c r="G1" s="10"/>
      <c r="H1" s="10"/>
    </row>
    <row r="2" spans="1:16 16383:16384" ht="15.75" customHeight="1" x14ac:dyDescent="0.2">
      <c r="A2" s="75"/>
      <c r="B2" s="76"/>
      <c r="C2" s="76"/>
      <c r="D2" s="3"/>
      <c r="E2" s="10"/>
      <c r="G2" s="10"/>
      <c r="H2" s="10"/>
      <c r="XFC2" s="119">
        <v>45857</v>
      </c>
      <c r="XFD2" s="113">
        <v>45809</v>
      </c>
    </row>
    <row r="3" spans="1:16 16383:16384" ht="15.75" customHeight="1" x14ac:dyDescent="0.2">
      <c r="A3" s="91" t="s">
        <v>673</v>
      </c>
      <c r="B3" s="120">
        <v>45949</v>
      </c>
      <c r="C3" s="3" t="s">
        <v>714</v>
      </c>
      <c r="F3" s="67"/>
      <c r="H3" s="10"/>
      <c r="N3" s="67"/>
      <c r="O3" s="10"/>
      <c r="P3" s="10"/>
      <c r="XFC3" s="119">
        <v>45858</v>
      </c>
      <c r="XFD3" s="113">
        <v>45810</v>
      </c>
    </row>
    <row r="4" spans="1:16 16383:16384" ht="15.75" customHeight="1" x14ac:dyDescent="0.2">
      <c r="A4" s="91"/>
      <c r="C4" s="3"/>
      <c r="F4" s="67"/>
      <c r="H4" s="10"/>
      <c r="O4" s="10"/>
      <c r="P4" s="10"/>
      <c r="XFC4" s="119">
        <v>45859</v>
      </c>
      <c r="XFD4" s="113">
        <v>45811</v>
      </c>
    </row>
    <row r="5" spans="1:16 16383:16384" ht="15.75" customHeight="1" x14ac:dyDescent="0.2">
      <c r="A5" s="135" t="s">
        <v>665</v>
      </c>
      <c r="B5" s="135"/>
      <c r="C5" s="135"/>
      <c r="F5" s="67"/>
      <c r="H5" s="10"/>
      <c r="O5" s="10"/>
      <c r="P5" s="10"/>
      <c r="XFC5" s="119">
        <v>45860</v>
      </c>
      <c r="XFD5" s="113">
        <v>45812</v>
      </c>
    </row>
    <row r="6" spans="1:16 16383:16384" ht="15.75" customHeight="1" x14ac:dyDescent="0.2">
      <c r="A6" s="5"/>
      <c r="B6" s="24"/>
      <c r="C6" s="117" t="s">
        <v>667</v>
      </c>
      <c r="D6" s="142" t="s">
        <v>666</v>
      </c>
      <c r="E6" s="142"/>
      <c r="F6" s="67"/>
      <c r="H6" s="10"/>
      <c r="O6" s="10"/>
      <c r="P6" s="10"/>
      <c r="XFC6" s="119">
        <v>45861</v>
      </c>
      <c r="XFD6" s="113">
        <v>45813</v>
      </c>
    </row>
    <row r="7" spans="1:16 16383:16384" ht="15.75" customHeight="1" x14ac:dyDescent="0.2">
      <c r="A7" s="109" t="s">
        <v>138</v>
      </c>
      <c r="B7" s="24">
        <v>363</v>
      </c>
      <c r="C7" s="118"/>
      <c r="F7" s="67"/>
      <c r="H7" s="10"/>
      <c r="O7" s="10"/>
      <c r="P7" s="10"/>
      <c r="XFC7" s="119">
        <v>45862</v>
      </c>
      <c r="XFD7" s="113">
        <v>45814</v>
      </c>
    </row>
    <row r="8" spans="1:16 16383:16384" ht="15.75" customHeight="1" x14ac:dyDescent="0.2">
      <c r="A8" s="109" t="s">
        <v>111</v>
      </c>
      <c r="B8" s="24">
        <v>6644</v>
      </c>
      <c r="C8" s="118"/>
      <c r="F8" s="67"/>
      <c r="H8" s="10"/>
      <c r="O8" s="10"/>
      <c r="P8" s="10"/>
      <c r="XFC8" s="119">
        <v>45863</v>
      </c>
      <c r="XFD8" s="113">
        <v>45815</v>
      </c>
    </row>
    <row r="9" spans="1:16 16383:16384" ht="15.75" customHeight="1" x14ac:dyDescent="0.2">
      <c r="A9" s="92" t="s">
        <v>0</v>
      </c>
      <c r="B9" s="76">
        <v>7006</v>
      </c>
      <c r="C9">
        <f>storage!B9</f>
        <v>6509</v>
      </c>
      <c r="D9" s="136" t="s">
        <v>706</v>
      </c>
      <c r="E9" s="137"/>
      <c r="F9" s="67"/>
      <c r="H9" s="10"/>
      <c r="O9" s="10"/>
      <c r="P9" s="10"/>
      <c r="XFC9" s="119">
        <v>45864</v>
      </c>
      <c r="XFD9" s="113">
        <v>45816</v>
      </c>
    </row>
    <row r="10" spans="1:16 16383:16384" ht="15.75" customHeight="1" x14ac:dyDescent="0.2">
      <c r="A10" s="109" t="s">
        <v>669</v>
      </c>
      <c r="B10" s="24">
        <v>7326</v>
      </c>
      <c r="F10" s="67"/>
      <c r="H10" s="10"/>
      <c r="O10" s="10"/>
      <c r="P10" s="10"/>
      <c r="XFC10" s="119">
        <v>45865</v>
      </c>
      <c r="XFD10" s="113">
        <v>45817</v>
      </c>
    </row>
    <row r="11" spans="1:16 16383:16384" ht="15.75" customHeight="1" x14ac:dyDescent="0.2">
      <c r="A11" s="109" t="s">
        <v>670</v>
      </c>
      <c r="B11" s="24">
        <v>5017</v>
      </c>
      <c r="F11" s="67"/>
      <c r="H11" s="10"/>
      <c r="O11" s="10"/>
      <c r="P11" s="10"/>
      <c r="XFC11" s="119">
        <v>45866</v>
      </c>
      <c r="XFD11" s="113">
        <v>45818</v>
      </c>
    </row>
    <row r="12" spans="1:16 16383:16384" ht="15.75" customHeight="1" x14ac:dyDescent="0.2">
      <c r="A12" s="91" t="s">
        <v>649</v>
      </c>
      <c r="B12" s="111">
        <v>4.3680043680043683E-2</v>
      </c>
      <c r="C12" s="41">
        <v>0.3</v>
      </c>
      <c r="D12" s="141"/>
      <c r="E12" s="141"/>
      <c r="F12" s="67"/>
      <c r="H12" s="10"/>
      <c r="O12" s="10"/>
      <c r="P12" s="10"/>
      <c r="XFC12" s="119">
        <v>45867</v>
      </c>
      <c r="XFD12" s="113">
        <v>45819</v>
      </c>
    </row>
    <row r="13" spans="1:16 16383:16384" ht="15.75" customHeight="1" x14ac:dyDescent="0.2">
      <c r="A13" s="10" t="s">
        <v>106</v>
      </c>
      <c r="B13" s="99">
        <v>6373</v>
      </c>
      <c r="D13" s="82"/>
      <c r="F13" s="67"/>
      <c r="H13" s="10"/>
      <c r="O13" s="10"/>
      <c r="P13" s="10"/>
      <c r="XFC13" s="119">
        <v>45868</v>
      </c>
      <c r="XFD13" s="113">
        <v>45820</v>
      </c>
    </row>
    <row r="14" spans="1:16 16383:16384" ht="15.75" customHeight="1" x14ac:dyDescent="0.2">
      <c r="A14" s="10" t="s">
        <v>107</v>
      </c>
      <c r="B14" s="99">
        <v>300</v>
      </c>
      <c r="C14" s="91"/>
      <c r="D14" s="82"/>
      <c r="F14" s="67"/>
      <c r="H14" s="10"/>
      <c r="O14" s="10"/>
      <c r="P14" s="10"/>
      <c r="XFC14" s="119">
        <v>45869</v>
      </c>
      <c r="XFD14" s="113">
        <v>45821</v>
      </c>
    </row>
    <row r="15" spans="1:16 16383:16384" ht="15.75" customHeight="1" x14ac:dyDescent="0.2">
      <c r="A15" s="91" t="s">
        <v>108</v>
      </c>
      <c r="B15" s="82">
        <v>934</v>
      </c>
      <c r="C15" s="91"/>
      <c r="D15" s="82"/>
      <c r="F15" s="67"/>
      <c r="H15" s="10"/>
      <c r="O15" s="10"/>
      <c r="P15" s="10"/>
      <c r="XFC15" s="119">
        <v>45870</v>
      </c>
      <c r="XFD15" s="113">
        <v>45822</v>
      </c>
    </row>
    <row r="16" spans="1:16 16383:16384" ht="15.75" customHeight="1" x14ac:dyDescent="0.2">
      <c r="B16" s="82"/>
      <c r="C16" s="91"/>
      <c r="D16" s="121"/>
      <c r="F16" s="67"/>
      <c r="H16" s="10"/>
      <c r="O16" s="10"/>
      <c r="P16" s="10"/>
      <c r="XFC16" s="119">
        <v>45871</v>
      </c>
      <c r="XFD16" s="113">
        <v>45823</v>
      </c>
    </row>
    <row r="17" spans="1:20 16383:16384" ht="15.75" customHeight="1" x14ac:dyDescent="0.2">
      <c r="A17" s="135" t="s">
        <v>44</v>
      </c>
      <c r="B17" s="135"/>
      <c r="C17" s="135"/>
      <c r="D17" s="82"/>
      <c r="F17" s="67"/>
      <c r="H17" s="10"/>
      <c r="O17" s="10"/>
      <c r="P17" s="10"/>
      <c r="XFC17" s="119">
        <v>45872</v>
      </c>
      <c r="XFD17" s="113">
        <v>45824</v>
      </c>
    </row>
    <row r="18" spans="1:20 16383:16384" ht="15.75" customHeight="1" x14ac:dyDescent="0.2">
      <c r="A18" s="91" t="s">
        <v>650</v>
      </c>
      <c r="B18" s="108">
        <v>0.95</v>
      </c>
      <c r="C18" s="110">
        <v>1</v>
      </c>
      <c r="D18" s="138"/>
      <c r="E18" s="139"/>
      <c r="F18" s="67"/>
      <c r="H18" s="10"/>
      <c r="O18" s="10"/>
      <c r="P18" s="10"/>
      <c r="XFC18" s="119">
        <v>45873</v>
      </c>
      <c r="XFD18" s="113">
        <v>45825</v>
      </c>
    </row>
    <row r="19" spans="1:20 16383:16384" ht="15.75" customHeight="1" x14ac:dyDescent="0.2">
      <c r="A19" s="91" t="s">
        <v>651</v>
      </c>
      <c r="B19" s="108">
        <v>0</v>
      </c>
      <c r="C19" s="110">
        <v>0</v>
      </c>
      <c r="D19" s="138"/>
      <c r="E19" s="139"/>
      <c r="F19" s="67"/>
      <c r="H19" s="10"/>
      <c r="O19" s="10"/>
      <c r="P19" s="10"/>
      <c r="XFC19" s="119">
        <v>45874</v>
      </c>
      <c r="XFD19" s="113">
        <v>45826</v>
      </c>
    </row>
    <row r="20" spans="1:20 16383:16384" ht="15.75" customHeight="1" x14ac:dyDescent="0.2">
      <c r="A20" s="91" t="s">
        <v>652</v>
      </c>
      <c r="B20" s="108">
        <v>0.92</v>
      </c>
      <c r="C20" s="110">
        <v>0.8</v>
      </c>
      <c r="D20" s="140" t="s">
        <v>671</v>
      </c>
      <c r="E20" s="139"/>
      <c r="F20" s="67"/>
      <c r="H20" s="10"/>
      <c r="O20" s="10"/>
      <c r="P20" s="10"/>
      <c r="XFC20" s="119">
        <v>45875</v>
      </c>
      <c r="XFD20" s="113">
        <v>45827</v>
      </c>
    </row>
    <row r="21" spans="1:20 16383:16384" ht="15.75" customHeight="1" x14ac:dyDescent="0.2">
      <c r="A21" s="10" t="s">
        <v>653</v>
      </c>
      <c r="B21" s="99">
        <v>6</v>
      </c>
      <c r="C21" s="10">
        <v>10</v>
      </c>
      <c r="D21" s="138"/>
      <c r="E21" s="139"/>
      <c r="F21" s="67"/>
      <c r="H21" s="10"/>
      <c r="O21" s="10"/>
      <c r="P21" s="10"/>
      <c r="XFC21" s="119">
        <v>45876</v>
      </c>
      <c r="XFD21" s="113">
        <v>45828</v>
      </c>
    </row>
    <row r="22" spans="1:20 16383:16384" ht="15.75" customHeight="1" x14ac:dyDescent="0.2">
      <c r="A22" s="91" t="s">
        <v>654</v>
      </c>
      <c r="B22" s="108">
        <v>0.08</v>
      </c>
      <c r="C22" s="110">
        <v>0.15</v>
      </c>
      <c r="D22" s="138"/>
      <c r="E22" s="139"/>
      <c r="F22" s="67"/>
      <c r="H22" s="10"/>
      <c r="O22" s="10"/>
      <c r="P22" s="10"/>
      <c r="XFC22" s="119">
        <v>45877</v>
      </c>
      <c r="XFD22" s="113">
        <v>45829</v>
      </c>
    </row>
    <row r="23" spans="1:20 16383:16384" ht="15.75" customHeight="1" x14ac:dyDescent="0.2">
      <c r="A23" s="10" t="s">
        <v>655</v>
      </c>
      <c r="B23" s="99">
        <v>9</v>
      </c>
      <c r="C23" s="10">
        <v>7</v>
      </c>
      <c r="D23" s="140" t="s">
        <v>672</v>
      </c>
      <c r="E23" s="139"/>
      <c r="F23" s="67"/>
      <c r="H23" s="10"/>
      <c r="O23" s="10"/>
      <c r="P23" s="10"/>
      <c r="XFC23" s="119">
        <v>45878</v>
      </c>
      <c r="XFD23" s="113">
        <v>45830</v>
      </c>
    </row>
    <row r="24" spans="1:20 16383:16384" ht="15.75" customHeight="1" x14ac:dyDescent="0.2">
      <c r="A24" s="91" t="s">
        <v>656</v>
      </c>
      <c r="B24" s="108">
        <v>0</v>
      </c>
      <c r="C24" s="110">
        <v>0.05</v>
      </c>
      <c r="D24" s="138"/>
      <c r="E24" s="139"/>
      <c r="F24" s="67"/>
      <c r="H24" s="10"/>
      <c r="O24" s="10"/>
      <c r="P24" s="10"/>
      <c r="XFC24" s="119">
        <v>45879</v>
      </c>
      <c r="XFD24" s="113">
        <v>45831</v>
      </c>
    </row>
    <row r="25" spans="1:20 16383:16384" ht="15.75" customHeight="1" x14ac:dyDescent="0.2">
      <c r="A25" s="10" t="s">
        <v>657</v>
      </c>
      <c r="B25" s="99">
        <v>0</v>
      </c>
      <c r="C25" s="10">
        <v>3</v>
      </c>
      <c r="D25" s="138"/>
      <c r="E25" s="139"/>
      <c r="F25" s="67"/>
      <c r="H25" s="10"/>
      <c r="O25" s="10"/>
      <c r="P25" s="10"/>
      <c r="XFC25" s="119">
        <v>45880</v>
      </c>
      <c r="XFD25" s="113">
        <v>45832</v>
      </c>
    </row>
    <row r="26" spans="1:20 16383:16384" ht="15.75" customHeight="1" x14ac:dyDescent="0.2">
      <c r="A26" s="10"/>
      <c r="B26" s="99"/>
      <c r="C26" s="91"/>
      <c r="D26" s="82"/>
      <c r="E26" s="183"/>
      <c r="F26" s="67"/>
      <c r="H26" s="10"/>
      <c r="O26" s="10"/>
      <c r="P26" s="10"/>
      <c r="XFC26" s="119">
        <v>45881</v>
      </c>
      <c r="XFD26" s="113"/>
    </row>
    <row r="27" spans="1:20 16383:16384" ht="15.75" customHeight="1" x14ac:dyDescent="0.2">
      <c r="A27" s="10"/>
      <c r="B27" s="99"/>
      <c r="C27" s="91"/>
      <c r="D27" s="82"/>
      <c r="E27" s="183"/>
      <c r="F27" s="67"/>
      <c r="H27" s="10"/>
      <c r="O27" s="10"/>
      <c r="P27" s="10"/>
      <c r="XFC27" s="119">
        <v>45882</v>
      </c>
      <c r="XFD27" s="113"/>
    </row>
    <row r="28" spans="1:20 16383:16384" ht="15.75" customHeight="1" x14ac:dyDescent="0.2">
      <c r="A28" s="122" t="s">
        <v>674</v>
      </c>
      <c r="B28" s="99"/>
      <c r="C28" s="91"/>
      <c r="D28" s="82"/>
      <c r="E28" s="183"/>
      <c r="F28" s="67"/>
      <c r="H28" s="10"/>
      <c r="O28" s="10"/>
      <c r="P28" s="10"/>
      <c r="XFC28" s="119">
        <v>45883</v>
      </c>
      <c r="XFD28" s="113"/>
    </row>
    <row r="29" spans="1:20 16383:16384" ht="15.75" customHeight="1" x14ac:dyDescent="0.2">
      <c r="A29" s="135" t="s">
        <v>126</v>
      </c>
      <c r="B29" s="135"/>
      <c r="C29" s="135"/>
      <c r="D29" s="82"/>
      <c r="E29" s="183"/>
      <c r="F29" s="67"/>
      <c r="H29" s="10"/>
      <c r="O29" s="10"/>
      <c r="P29" s="10"/>
      <c r="XFC29" s="119">
        <v>45884</v>
      </c>
      <c r="XFD29" s="113"/>
    </row>
    <row r="30" spans="1:20 16383:16384" ht="31.5" customHeight="1" x14ac:dyDescent="0.2">
      <c r="A30" s="11" t="s">
        <v>121</v>
      </c>
      <c r="B30" s="11" t="s">
        <v>111</v>
      </c>
      <c r="C30" s="11" t="s">
        <v>122</v>
      </c>
      <c r="D30" s="11" t="s">
        <v>123</v>
      </c>
      <c r="E30" s="184" t="s">
        <v>124</v>
      </c>
      <c r="F30" s="184" t="s">
        <v>125</v>
      </c>
      <c r="G30" s="184" t="s">
        <v>770</v>
      </c>
      <c r="H30" s="184" t="s">
        <v>127</v>
      </c>
      <c r="I30" s="184" t="s">
        <v>128</v>
      </c>
      <c r="J30" s="184" t="s">
        <v>129</v>
      </c>
      <c r="K30" s="184" t="s">
        <v>130</v>
      </c>
      <c r="L30" s="184" t="s">
        <v>133</v>
      </c>
      <c r="M30" s="184" t="s">
        <v>132</v>
      </c>
      <c r="N30" s="184" t="s">
        <v>668</v>
      </c>
      <c r="O30" s="184" t="s">
        <v>134</v>
      </c>
      <c r="P30" s="184" t="s">
        <v>136</v>
      </c>
      <c r="Q30" s="34" t="s">
        <v>135</v>
      </c>
      <c r="R30" s="34" t="s">
        <v>708</v>
      </c>
      <c r="S30" s="34" t="s">
        <v>709</v>
      </c>
      <c r="XFC30" s="119">
        <v>45885</v>
      </c>
      <c r="XFD30" s="113">
        <v>45834</v>
      </c>
    </row>
    <row r="31" spans="1:20 16383:16384" ht="15.75" customHeight="1" x14ac:dyDescent="0.2">
      <c r="A31" s="80" t="s">
        <v>155</v>
      </c>
      <c r="B31" s="80" t="s">
        <v>34</v>
      </c>
      <c r="C31" s="148">
        <v>45383</v>
      </c>
      <c r="D31" s="150"/>
      <c r="E31" s="160">
        <v>0.89</v>
      </c>
      <c r="F31" s="163">
        <v>2837</v>
      </c>
      <c r="G31" s="152">
        <v>3186.25</v>
      </c>
      <c r="H31" s="132">
        <v>3924.6</v>
      </c>
      <c r="I31" s="164">
        <v>0</v>
      </c>
      <c r="J31" s="163">
        <v>0</v>
      </c>
      <c r="K31" s="153"/>
      <c r="L31" s="161">
        <v>0.89</v>
      </c>
      <c r="M31" s="151">
        <v>3495</v>
      </c>
      <c r="N31" s="155">
        <v>0.49881285991953678</v>
      </c>
      <c r="O31" s="157">
        <v>657</v>
      </c>
      <c r="P31" s="134">
        <v>0.23173039396802228</v>
      </c>
      <c r="Q31" s="78" t="s">
        <v>60</v>
      </c>
      <c r="T31" s="56"/>
      <c r="XFC31" s="119">
        <v>45886</v>
      </c>
      <c r="XFD31" s="113">
        <v>45835</v>
      </c>
    </row>
    <row r="32" spans="1:20 16383:16384" ht="15.75" customHeight="1" x14ac:dyDescent="0.2">
      <c r="A32" s="80" t="s">
        <v>155</v>
      </c>
      <c r="B32" s="146" t="s">
        <v>35</v>
      </c>
      <c r="C32" s="148">
        <v>45870</v>
      </c>
      <c r="D32" s="148"/>
      <c r="E32" s="160">
        <v>8.3979999999999997</v>
      </c>
      <c r="F32" s="163">
        <v>1607</v>
      </c>
      <c r="G32" s="152">
        <v>191.41</v>
      </c>
      <c r="H32" s="153">
        <v>188.55</v>
      </c>
      <c r="I32" s="161">
        <v>0</v>
      </c>
      <c r="J32" s="151">
        <v>0</v>
      </c>
      <c r="K32" s="152"/>
      <c r="L32" s="164">
        <v>8.3979999999999997</v>
      </c>
      <c r="M32" s="154">
        <v>1583</v>
      </c>
      <c r="N32" s="156">
        <v>0.22592868590919218</v>
      </c>
      <c r="O32" s="144">
        <v>-24</v>
      </c>
      <c r="P32" s="145">
        <v>-1.4932175536375741E-2</v>
      </c>
      <c r="Q32" s="78" t="s">
        <v>60</v>
      </c>
      <c r="T32" s="56"/>
      <c r="XFC32" s="119">
        <v>45887</v>
      </c>
      <c r="XFD32" s="113">
        <v>45836</v>
      </c>
    </row>
    <row r="33" spans="1:20 16383:16384" ht="15" customHeight="1" x14ac:dyDescent="0.2">
      <c r="A33" s="146" t="s">
        <v>155</v>
      </c>
      <c r="B33" s="146" t="s">
        <v>78</v>
      </c>
      <c r="C33" s="162">
        <v>45870</v>
      </c>
      <c r="D33" s="162"/>
      <c r="E33" s="160">
        <v>0.58599999999999997</v>
      </c>
      <c r="F33" s="163">
        <v>444</v>
      </c>
      <c r="G33" s="153">
        <v>757.8</v>
      </c>
      <c r="H33" s="153">
        <v>1098.42</v>
      </c>
      <c r="I33" s="164">
        <v>0</v>
      </c>
      <c r="J33" s="163">
        <v>0</v>
      </c>
      <c r="K33" s="153"/>
      <c r="L33" s="164">
        <v>0.58599999999999997</v>
      </c>
      <c r="M33" s="163">
        <v>644</v>
      </c>
      <c r="N33" s="165">
        <v>9.1912870325659993E-2</v>
      </c>
      <c r="O33" s="166">
        <v>200</v>
      </c>
      <c r="P33" s="167">
        <v>0.44948535233570863</v>
      </c>
      <c r="Q33" s="78" t="s">
        <v>60</v>
      </c>
      <c r="XFC33" s="119">
        <v>45888</v>
      </c>
      <c r="XFD33" s="113">
        <v>45837</v>
      </c>
    </row>
    <row r="34" spans="1:20 16383:16384" ht="15.75" customHeight="1" x14ac:dyDescent="0.2">
      <c r="A34" s="14" t="s">
        <v>155</v>
      </c>
      <c r="B34" s="80" t="s">
        <v>37</v>
      </c>
      <c r="C34" s="189">
        <v>45870</v>
      </c>
      <c r="D34" s="189"/>
      <c r="E34" s="172">
        <v>408.81</v>
      </c>
      <c r="F34" s="174">
        <v>292</v>
      </c>
      <c r="G34" s="175">
        <v>0.71</v>
      </c>
      <c r="H34" s="176">
        <v>0.64249999999999996</v>
      </c>
      <c r="I34" s="173">
        <v>0</v>
      </c>
      <c r="J34" s="174">
        <v>0</v>
      </c>
      <c r="K34" s="176"/>
      <c r="L34" s="173">
        <v>408.81</v>
      </c>
      <c r="M34" s="174">
        <v>263</v>
      </c>
      <c r="N34" s="177">
        <v>3.7535846111255558E-2</v>
      </c>
      <c r="O34" s="180">
        <v>-29</v>
      </c>
      <c r="P34" s="181">
        <v>-0.10026606917798635</v>
      </c>
      <c r="Q34" s="78" t="s">
        <v>60</v>
      </c>
      <c r="XFC34" s="119">
        <v>45889</v>
      </c>
      <c r="XFD34" s="113">
        <v>45838</v>
      </c>
    </row>
    <row r="35" spans="1:20 16383:16384" ht="15.75" customHeight="1" x14ac:dyDescent="0.2">
      <c r="A35" s="14" t="s">
        <v>155</v>
      </c>
      <c r="B35" s="80" t="s">
        <v>739</v>
      </c>
      <c r="C35" s="189">
        <v>45936</v>
      </c>
      <c r="D35" s="189"/>
      <c r="E35" s="172">
        <v>128.57</v>
      </c>
      <c r="F35" s="174">
        <v>240</v>
      </c>
      <c r="G35" s="175">
        <v>1.87</v>
      </c>
      <c r="H35" s="176">
        <v>1.198</v>
      </c>
      <c r="I35" s="173">
        <v>0</v>
      </c>
      <c r="J35" s="174">
        <v>0</v>
      </c>
      <c r="K35" s="176"/>
      <c r="L35" s="173">
        <v>128.57</v>
      </c>
      <c r="M35" s="174">
        <v>154</v>
      </c>
      <c r="N35" s="177">
        <v>2.1979164643092606E-2</v>
      </c>
      <c r="O35" s="180">
        <v>-86</v>
      </c>
      <c r="P35" s="181">
        <v>-0.35821606846723719</v>
      </c>
      <c r="Q35" s="78" t="s">
        <v>60</v>
      </c>
      <c r="T35" s="56"/>
      <c r="XFC35" s="119">
        <v>45890</v>
      </c>
      <c r="XFD35" s="113">
        <v>45839</v>
      </c>
    </row>
    <row r="36" spans="1:20 16383:16384" ht="15.75" customHeight="1" x14ac:dyDescent="0.2">
      <c r="A36" s="80" t="s">
        <v>155</v>
      </c>
      <c r="B36" s="80" t="s">
        <v>149</v>
      </c>
      <c r="C36" s="162">
        <v>45909</v>
      </c>
      <c r="D36" s="162"/>
      <c r="E36" s="160">
        <v>193.87</v>
      </c>
      <c r="F36" s="163">
        <v>300</v>
      </c>
      <c r="G36" s="132">
        <v>1.55</v>
      </c>
      <c r="H36" s="153">
        <v>1.6758</v>
      </c>
      <c r="I36" s="164">
        <v>112</v>
      </c>
      <c r="J36" s="163">
        <v>185</v>
      </c>
      <c r="K36" s="153">
        <v>1.65</v>
      </c>
      <c r="L36" s="164">
        <v>81.87</v>
      </c>
      <c r="M36" s="163">
        <v>137</v>
      </c>
      <c r="N36" s="165">
        <v>1.9552893221452514E-2</v>
      </c>
      <c r="O36" s="166">
        <v>22</v>
      </c>
      <c r="P36" s="167">
        <v>7.2958141156070452E-2</v>
      </c>
      <c r="Q36" s="78" t="s">
        <v>137</v>
      </c>
      <c r="XFC36" s="119">
        <v>45891</v>
      </c>
      <c r="XFD36" s="113">
        <v>45840</v>
      </c>
    </row>
    <row r="37" spans="1:20 16383:16384" ht="15.75" customHeight="1" x14ac:dyDescent="0.2">
      <c r="A37" s="80" t="s">
        <v>155</v>
      </c>
      <c r="B37" s="80" t="s">
        <v>77</v>
      </c>
      <c r="C37" s="162">
        <v>45870</v>
      </c>
      <c r="D37" s="162"/>
      <c r="E37" s="160">
        <v>93.75</v>
      </c>
      <c r="F37" s="163">
        <v>90</v>
      </c>
      <c r="G37" s="132">
        <v>0.96</v>
      </c>
      <c r="H37" s="153">
        <v>0.89700000000000002</v>
      </c>
      <c r="I37" s="164">
        <v>0</v>
      </c>
      <c r="J37" s="163">
        <v>0</v>
      </c>
      <c r="K37" s="153"/>
      <c r="L37" s="164">
        <v>93.75</v>
      </c>
      <c r="M37" s="163">
        <v>84</v>
      </c>
      <c r="N37" s="165">
        <v>1.1988635259868695E-2</v>
      </c>
      <c r="O37" s="158">
        <v>-6</v>
      </c>
      <c r="P37" s="159">
        <v>-6.9502074688796683E-2</v>
      </c>
      <c r="Q37" s="78" t="s">
        <v>66</v>
      </c>
      <c r="XFC37" s="119">
        <v>45892</v>
      </c>
      <c r="XFD37" s="113">
        <v>45841</v>
      </c>
    </row>
    <row r="38" spans="1:20 16383:16384" ht="15.75" customHeight="1" x14ac:dyDescent="0.2">
      <c r="A38" s="14" t="s">
        <v>155</v>
      </c>
      <c r="B38" s="80" t="s">
        <v>150</v>
      </c>
      <c r="C38" s="189">
        <v>45909</v>
      </c>
      <c r="D38" s="189"/>
      <c r="E38" s="172">
        <v>1.97</v>
      </c>
      <c r="F38" s="174">
        <v>100</v>
      </c>
      <c r="G38" s="175">
        <v>50.74</v>
      </c>
      <c r="H38" s="176">
        <v>36.43</v>
      </c>
      <c r="I38" s="173">
        <v>0</v>
      </c>
      <c r="J38" s="174">
        <v>0</v>
      </c>
      <c r="K38" s="176"/>
      <c r="L38" s="173">
        <v>1.97</v>
      </c>
      <c r="M38" s="174">
        <v>72</v>
      </c>
      <c r="N38" s="177">
        <v>1.0275973079887453E-2</v>
      </c>
      <c r="O38" s="180">
        <v>-28</v>
      </c>
      <c r="P38" s="181">
        <v>-0.28202601497832092</v>
      </c>
      <c r="Q38" s="78" t="s">
        <v>137</v>
      </c>
      <c r="XFC38" s="119">
        <v>45893</v>
      </c>
      <c r="XFD38" s="113">
        <v>45842</v>
      </c>
    </row>
    <row r="39" spans="1:20 16383:16384" ht="15.75" customHeight="1" x14ac:dyDescent="0.2">
      <c r="A39" s="80" t="s">
        <v>155</v>
      </c>
      <c r="B39" s="80" t="s">
        <v>109</v>
      </c>
      <c r="C39" s="162">
        <v>45870</v>
      </c>
      <c r="D39" s="162"/>
      <c r="E39" s="160">
        <v>76.02</v>
      </c>
      <c r="F39" s="163">
        <v>68</v>
      </c>
      <c r="G39" s="132">
        <v>0.89</v>
      </c>
      <c r="H39" s="153">
        <v>0.72550000000000003</v>
      </c>
      <c r="I39" s="164">
        <v>0</v>
      </c>
      <c r="J39" s="163">
        <v>0</v>
      </c>
      <c r="K39" s="153"/>
      <c r="L39" s="164">
        <v>76.02</v>
      </c>
      <c r="M39" s="163">
        <v>55</v>
      </c>
      <c r="N39" s="165">
        <v>7.84970165824736E-3</v>
      </c>
      <c r="O39" s="158">
        <v>-12</v>
      </c>
      <c r="P39" s="159">
        <v>-0.18473985841105747</v>
      </c>
      <c r="Q39" s="78" t="s">
        <v>66</v>
      </c>
      <c r="XFC39" s="119">
        <v>45894</v>
      </c>
      <c r="XFD39" s="113">
        <v>45843</v>
      </c>
    </row>
    <row r="40" spans="1:20 16383:16384" ht="15.75" customHeight="1" x14ac:dyDescent="0.2">
      <c r="A40" s="14" t="s">
        <v>155</v>
      </c>
      <c r="B40" s="80" t="s">
        <v>88</v>
      </c>
      <c r="C40" s="189">
        <v>45870</v>
      </c>
      <c r="D40" s="189"/>
      <c r="E40" s="172">
        <v>2.5</v>
      </c>
      <c r="F40" s="174">
        <v>40</v>
      </c>
      <c r="G40" s="175">
        <v>16.07</v>
      </c>
      <c r="H40" s="176">
        <v>17.079999999999998</v>
      </c>
      <c r="I40" s="173">
        <v>0</v>
      </c>
      <c r="J40" s="174">
        <v>0</v>
      </c>
      <c r="K40" s="176"/>
      <c r="L40" s="173">
        <v>2.5</v>
      </c>
      <c r="M40" s="174">
        <v>43</v>
      </c>
      <c r="N40" s="177">
        <v>6.1370394782661172E-3</v>
      </c>
      <c r="O40" s="178">
        <v>3</v>
      </c>
      <c r="P40" s="179">
        <v>6.2850031113876756E-2</v>
      </c>
      <c r="Q40" s="78" t="s">
        <v>66</v>
      </c>
      <c r="XFC40" s="119">
        <v>45895</v>
      </c>
      <c r="XFD40" s="113">
        <v>45844</v>
      </c>
    </row>
    <row r="41" spans="1:20 16383:16384" ht="15.75" customHeight="1" x14ac:dyDescent="0.2">
      <c r="A41" s="80" t="s">
        <v>155</v>
      </c>
      <c r="B41" s="80" t="s">
        <v>81</v>
      </c>
      <c r="C41" s="162">
        <v>45870</v>
      </c>
      <c r="D41" s="162"/>
      <c r="E41" s="160">
        <v>146.86000000000001</v>
      </c>
      <c r="F41" s="163">
        <v>35</v>
      </c>
      <c r="G41" s="132">
        <v>0.24</v>
      </c>
      <c r="H41" s="153">
        <v>0.18290000000000001</v>
      </c>
      <c r="I41" s="164">
        <v>0</v>
      </c>
      <c r="J41" s="163">
        <v>0</v>
      </c>
      <c r="K41" s="153"/>
      <c r="L41" s="164">
        <v>146.86000000000001</v>
      </c>
      <c r="M41" s="163">
        <v>27</v>
      </c>
      <c r="N41" s="165">
        <v>3.8534899049577948E-3</v>
      </c>
      <c r="O41" s="158">
        <v>-8</v>
      </c>
      <c r="P41" s="159">
        <v>-0.22532825074121141</v>
      </c>
      <c r="Q41" s="78" t="s">
        <v>60</v>
      </c>
      <c r="S41" s="23"/>
      <c r="XFC41" s="119">
        <v>45896</v>
      </c>
      <c r="XFD41" s="113">
        <v>45845</v>
      </c>
    </row>
    <row r="42" spans="1:20 16383:16384" ht="15.75" customHeight="1" x14ac:dyDescent="0.2">
      <c r="A42" s="80" t="s">
        <v>155</v>
      </c>
      <c r="B42" s="80" t="s">
        <v>86</v>
      </c>
      <c r="C42" s="162">
        <v>45870</v>
      </c>
      <c r="D42" s="162"/>
      <c r="E42" s="160">
        <v>3.8220000000000001</v>
      </c>
      <c r="F42" s="151">
        <v>35</v>
      </c>
      <c r="G42" s="132">
        <v>9.0399999999999991</v>
      </c>
      <c r="H42" s="153">
        <v>6.1449999999999996</v>
      </c>
      <c r="I42" s="164">
        <v>0</v>
      </c>
      <c r="J42" s="163">
        <v>0</v>
      </c>
      <c r="K42" s="153"/>
      <c r="L42" s="164">
        <v>3.8220000000000001</v>
      </c>
      <c r="M42" s="163">
        <v>23</v>
      </c>
      <c r="N42" s="165">
        <v>3.2826025116307138E-3</v>
      </c>
      <c r="O42" s="158">
        <v>-11</v>
      </c>
      <c r="P42" s="159">
        <v>-0.32001770499059434</v>
      </c>
      <c r="Q42" s="78" t="s">
        <v>66</v>
      </c>
      <c r="XFC42" s="119">
        <v>45897</v>
      </c>
      <c r="XFD42" s="113">
        <v>45846</v>
      </c>
    </row>
    <row r="43" spans="1:20 16383:16384" ht="15.75" customHeight="1" x14ac:dyDescent="0.2">
      <c r="A43" s="14" t="s">
        <v>155</v>
      </c>
      <c r="B43" s="81" t="s">
        <v>80</v>
      </c>
      <c r="C43" s="189">
        <v>45870</v>
      </c>
      <c r="D43" s="189"/>
      <c r="E43" s="172">
        <v>9.89</v>
      </c>
      <c r="F43" s="182">
        <v>24</v>
      </c>
      <c r="G43" s="175">
        <v>2.41</v>
      </c>
      <c r="H43" s="176">
        <v>2.214</v>
      </c>
      <c r="I43" s="173">
        <v>0</v>
      </c>
      <c r="J43" s="174">
        <v>0</v>
      </c>
      <c r="K43" s="176"/>
      <c r="L43" s="173">
        <v>9.89</v>
      </c>
      <c r="M43" s="174">
        <v>22</v>
      </c>
      <c r="N43" s="177">
        <v>3.1398806632989438E-3</v>
      </c>
      <c r="O43" s="180">
        <v>-2</v>
      </c>
      <c r="P43" s="181">
        <v>-8.2850041425020768E-2</v>
      </c>
      <c r="Q43" s="78" t="s">
        <v>60</v>
      </c>
      <c r="XFC43" s="119">
        <v>45898</v>
      </c>
      <c r="XFD43" s="113">
        <v>45847</v>
      </c>
    </row>
    <row r="44" spans="1:20 16383:16384" ht="15.75" customHeight="1" x14ac:dyDescent="0.2">
      <c r="A44" s="80" t="s">
        <v>155</v>
      </c>
      <c r="B44" s="81" t="s">
        <v>41</v>
      </c>
      <c r="C44" s="162">
        <v>45913</v>
      </c>
      <c r="D44" s="162"/>
      <c r="E44" s="160">
        <v>69.8</v>
      </c>
      <c r="F44" s="163">
        <v>38</v>
      </c>
      <c r="G44" s="153">
        <v>0.54</v>
      </c>
      <c r="H44" s="153">
        <v>0.315</v>
      </c>
      <c r="I44" s="164">
        <v>0</v>
      </c>
      <c r="J44" s="163">
        <v>0</v>
      </c>
      <c r="K44" s="153"/>
      <c r="L44" s="164">
        <v>69.8</v>
      </c>
      <c r="M44" s="163">
        <v>22</v>
      </c>
      <c r="N44" s="165">
        <v>3.1398806632989438E-3</v>
      </c>
      <c r="O44" s="158">
        <v>-16</v>
      </c>
      <c r="P44" s="159">
        <v>-0.41666666666666674</v>
      </c>
      <c r="Q44" s="78" t="s">
        <v>60</v>
      </c>
      <c r="XFC44" s="119">
        <v>45899</v>
      </c>
      <c r="XFD44" s="113">
        <v>45848</v>
      </c>
    </row>
    <row r="45" spans="1:20 16383:16384" ht="15.75" customHeight="1" x14ac:dyDescent="0.2">
      <c r="A45" s="77" t="s">
        <v>155</v>
      </c>
      <c r="B45" s="168" t="s">
        <v>87</v>
      </c>
      <c r="C45" s="149">
        <v>45870</v>
      </c>
      <c r="D45" s="169"/>
      <c r="E45" s="160">
        <v>2.3740000000000001</v>
      </c>
      <c r="F45" s="163">
        <v>30</v>
      </c>
      <c r="G45" s="153">
        <v>12.55</v>
      </c>
      <c r="H45" s="153">
        <v>8.5299999999999994</v>
      </c>
      <c r="I45" s="164">
        <v>0</v>
      </c>
      <c r="J45" s="163">
        <v>0</v>
      </c>
      <c r="K45" s="153"/>
      <c r="L45" s="164">
        <v>2.3740000000000001</v>
      </c>
      <c r="M45" s="163">
        <v>20</v>
      </c>
      <c r="N45" s="165">
        <v>2.8544369666354034E-3</v>
      </c>
      <c r="O45" s="158">
        <v>-10</v>
      </c>
      <c r="P45" s="159">
        <v>-0.32031872509960174</v>
      </c>
      <c r="Q45" s="78" t="s">
        <v>66</v>
      </c>
      <c r="XFC45" s="119">
        <v>45900</v>
      </c>
      <c r="XFD45" s="113">
        <v>45849</v>
      </c>
    </row>
    <row r="46" spans="1:20 16383:16384" ht="15.75" customHeight="1" x14ac:dyDescent="0.2">
      <c r="A46" s="14" t="s">
        <v>501</v>
      </c>
      <c r="B46" s="81" t="s">
        <v>48</v>
      </c>
      <c r="C46" s="189">
        <v>45396</v>
      </c>
      <c r="D46" s="189">
        <v>45750</v>
      </c>
      <c r="E46" s="172">
        <v>2.4E-2</v>
      </c>
      <c r="F46" s="174">
        <v>1404</v>
      </c>
      <c r="G46" s="176">
        <v>59220.88</v>
      </c>
      <c r="H46" s="176"/>
      <c r="I46" s="173">
        <v>2.4E-2</v>
      </c>
      <c r="J46" s="174">
        <v>2123</v>
      </c>
      <c r="K46" s="176">
        <v>89216.71</v>
      </c>
      <c r="L46" s="173">
        <v>0</v>
      </c>
      <c r="M46" s="174">
        <v>0</v>
      </c>
      <c r="N46" s="177"/>
      <c r="O46" s="178">
        <v>720</v>
      </c>
      <c r="P46" s="179">
        <v>0.51274918957125126</v>
      </c>
      <c r="Q46" s="78" t="s">
        <v>60</v>
      </c>
      <c r="XFC46" s="119">
        <v>45901</v>
      </c>
      <c r="XFD46" s="113">
        <v>45850</v>
      </c>
    </row>
    <row r="47" spans="1:20 16383:16384" ht="15.75" customHeight="1" x14ac:dyDescent="0.2">
      <c r="A47" s="187" t="s">
        <v>501</v>
      </c>
      <c r="B47" s="188" t="s">
        <v>608</v>
      </c>
      <c r="C47" s="190">
        <v>45870</v>
      </c>
      <c r="D47" s="190">
        <v>45870</v>
      </c>
      <c r="E47" s="172">
        <v>387.7</v>
      </c>
      <c r="F47" s="174">
        <v>388</v>
      </c>
      <c r="G47" s="176">
        <v>1</v>
      </c>
      <c r="H47" s="176"/>
      <c r="I47" s="173">
        <v>387.7</v>
      </c>
      <c r="J47" s="174">
        <v>0</v>
      </c>
      <c r="K47" s="176">
        <v>0</v>
      </c>
      <c r="L47" s="173">
        <v>0</v>
      </c>
      <c r="M47" s="174">
        <v>0</v>
      </c>
      <c r="N47" s="177"/>
      <c r="O47" s="180">
        <v>-388</v>
      </c>
      <c r="P47" s="181">
        <v>-1</v>
      </c>
      <c r="Q47" s="79" t="s">
        <v>137</v>
      </c>
      <c r="XFC47" s="119">
        <v>45902</v>
      </c>
      <c r="XFD47" s="113"/>
    </row>
    <row r="48" spans="1:20 16383:16384" ht="15.75" customHeight="1" x14ac:dyDescent="0.2">
      <c r="A48" s="77" t="s">
        <v>501</v>
      </c>
      <c r="B48" s="147" t="s">
        <v>85</v>
      </c>
      <c r="C48" s="149">
        <v>45870</v>
      </c>
      <c r="D48" s="149">
        <v>45947</v>
      </c>
      <c r="E48" s="160">
        <v>3.3</v>
      </c>
      <c r="F48" s="163">
        <v>23</v>
      </c>
      <c r="G48" s="153">
        <v>6.94</v>
      </c>
      <c r="H48" s="153"/>
      <c r="I48" s="164">
        <v>3.3</v>
      </c>
      <c r="J48" s="163">
        <v>13</v>
      </c>
      <c r="K48" s="153">
        <v>3.8</v>
      </c>
      <c r="L48" s="164">
        <v>0</v>
      </c>
      <c r="M48" s="163">
        <v>0</v>
      </c>
      <c r="N48" s="165"/>
      <c r="O48" s="158">
        <v>-10</v>
      </c>
      <c r="P48" s="159">
        <v>-0.45216138328530264</v>
      </c>
      <c r="Q48" s="78" t="s">
        <v>66</v>
      </c>
      <c r="XFC48" s="119">
        <v>45903</v>
      </c>
      <c r="XFD48" s="113"/>
    </row>
    <row r="49" spans="1:17 16383:16384" ht="15.75" customHeight="1" x14ac:dyDescent="0.2">
      <c r="A49" s="133" t="s">
        <v>501</v>
      </c>
      <c r="B49" s="170" t="s">
        <v>83</v>
      </c>
      <c r="C49" s="162">
        <v>45870</v>
      </c>
      <c r="D49" s="162">
        <v>45947</v>
      </c>
      <c r="E49" s="160">
        <v>2059</v>
      </c>
      <c r="F49" s="163">
        <v>47</v>
      </c>
      <c r="G49" s="153">
        <v>0.02</v>
      </c>
      <c r="H49" s="153"/>
      <c r="I49" s="164">
        <v>2059.3000000000002</v>
      </c>
      <c r="J49" s="163">
        <v>35</v>
      </c>
      <c r="K49" s="153">
        <v>0.02</v>
      </c>
      <c r="L49" s="164">
        <v>0</v>
      </c>
      <c r="M49" s="163">
        <v>0</v>
      </c>
      <c r="N49" s="165"/>
      <c r="O49" s="158">
        <v>-12</v>
      </c>
      <c r="P49" s="159">
        <v>-0.24989072365225837</v>
      </c>
      <c r="Q49" s="78" t="s">
        <v>60</v>
      </c>
      <c r="XFC49" s="119">
        <v>45904</v>
      </c>
      <c r="XFD49" s="113"/>
    </row>
    <row r="50" spans="1:17 16383:16384" ht="15.75" customHeight="1" x14ac:dyDescent="0.2">
      <c r="A50" s="146" t="s">
        <v>501</v>
      </c>
      <c r="B50" s="146" t="s">
        <v>99</v>
      </c>
      <c r="C50" s="162">
        <v>45870</v>
      </c>
      <c r="D50" s="162">
        <v>45947</v>
      </c>
      <c r="E50" s="160">
        <v>25.1</v>
      </c>
      <c r="F50" s="163">
        <v>87</v>
      </c>
      <c r="G50" s="153">
        <v>3.45</v>
      </c>
      <c r="H50" s="153"/>
      <c r="I50" s="164">
        <v>25.1</v>
      </c>
      <c r="J50" s="163">
        <v>61</v>
      </c>
      <c r="K50" s="153">
        <v>2.4500000000000002</v>
      </c>
      <c r="L50" s="164">
        <v>0</v>
      </c>
      <c r="M50" s="163">
        <v>0</v>
      </c>
      <c r="N50" s="165"/>
      <c r="O50" s="158">
        <v>-25</v>
      </c>
      <c r="P50" s="159">
        <v>-0.28985507246376818</v>
      </c>
      <c r="Q50" s="78" t="s">
        <v>60</v>
      </c>
      <c r="XFC50" s="119">
        <v>45905</v>
      </c>
      <c r="XFD50" s="113"/>
    </row>
    <row r="51" spans="1:17 16383:16384" ht="15.75" customHeight="1" x14ac:dyDescent="0.2">
      <c r="A51" s="48"/>
      <c r="B51" s="48"/>
      <c r="C51" s="48"/>
      <c r="D51" s="48"/>
      <c r="F51" s="67"/>
      <c r="J51" s="67"/>
      <c r="M51" s="67"/>
      <c r="N51" s="67"/>
      <c r="Q51" s="79"/>
      <c r="XFC51" s="119">
        <v>45906</v>
      </c>
      <c r="XFD51" s="113"/>
    </row>
    <row r="52" spans="1:17 16383:16384" ht="15.75" customHeight="1" x14ac:dyDescent="0.2">
      <c r="A52" s="48"/>
      <c r="B52" s="48"/>
      <c r="C52" s="48"/>
      <c r="D52" s="48"/>
      <c r="F52" s="67"/>
      <c r="J52" s="67"/>
      <c r="M52" s="67"/>
      <c r="N52" s="67"/>
      <c r="Q52" s="191"/>
      <c r="XFC52" s="119">
        <v>45907</v>
      </c>
      <c r="XFD52" s="113"/>
    </row>
    <row r="53" spans="1:17 16383:16384" ht="15.75" customHeight="1" x14ac:dyDescent="0.2">
      <c r="A53" s="48"/>
      <c r="B53" s="48"/>
      <c r="C53" s="48"/>
      <c r="D53" s="48"/>
      <c r="F53" s="185"/>
      <c r="J53" s="185"/>
      <c r="M53" s="185"/>
      <c r="N53" s="185"/>
      <c r="Q53" s="191"/>
      <c r="XFC53" s="119">
        <v>45908</v>
      </c>
      <c r="XFD53" s="113"/>
    </row>
    <row r="54" spans="1:17 16383:16384" ht="15.75" customHeight="1" x14ac:dyDescent="0.2">
      <c r="A54" s="48"/>
      <c r="B54" s="48"/>
      <c r="C54" s="48"/>
      <c r="D54" s="48"/>
      <c r="F54" s="67"/>
      <c r="J54" s="186"/>
      <c r="M54" s="67"/>
      <c r="N54" s="67"/>
      <c r="Q54" s="191"/>
      <c r="XFC54" s="119">
        <v>45909</v>
      </c>
      <c r="XFD54" s="113">
        <v>45858</v>
      </c>
    </row>
    <row r="55" spans="1:17 16383:16384" ht="15.75" customHeight="1" x14ac:dyDescent="0.2">
      <c r="A55" s="48"/>
      <c r="B55" s="48"/>
      <c r="C55" s="48"/>
      <c r="D55" s="48"/>
      <c r="F55" s="67"/>
      <c r="J55" s="186"/>
      <c r="M55" s="67"/>
      <c r="N55" s="67"/>
      <c r="Q55" s="191"/>
      <c r="XFC55" s="119">
        <v>45910</v>
      </c>
      <c r="XFD55" s="113">
        <v>45859</v>
      </c>
    </row>
    <row r="56" spans="1:17 16383:16384" ht="15.75" customHeight="1" x14ac:dyDescent="0.2">
      <c r="A56" s="48"/>
      <c r="B56" s="48"/>
      <c r="C56" s="48"/>
      <c r="D56" s="48"/>
      <c r="F56" s="67"/>
      <c r="J56" s="186"/>
      <c r="M56" s="67"/>
      <c r="N56" s="67"/>
      <c r="Q56" s="191"/>
      <c r="XFC56" s="119">
        <v>45911</v>
      </c>
      <c r="XFD56" s="113">
        <v>45860</v>
      </c>
    </row>
    <row r="57" spans="1:17 16383:16384" ht="15.75" customHeight="1" x14ac:dyDescent="0.2">
      <c r="A57" s="48"/>
      <c r="B57" s="48"/>
      <c r="C57" s="48"/>
      <c r="D57" s="48"/>
      <c r="J57" s="186"/>
      <c r="M57" s="186"/>
      <c r="N57" s="186"/>
      <c r="Q57" s="191"/>
      <c r="XFC57" s="119">
        <v>45912</v>
      </c>
      <c r="XFD57" s="113">
        <v>45861</v>
      </c>
    </row>
    <row r="58" spans="1:17 16383:16384" ht="15.75" customHeight="1" x14ac:dyDescent="0.2">
      <c r="A58" s="48"/>
      <c r="B58" s="48"/>
      <c r="C58" s="48"/>
      <c r="D58" s="48"/>
      <c r="J58" s="186"/>
      <c r="M58" s="186"/>
      <c r="N58" s="186"/>
      <c r="Q58" s="191"/>
      <c r="XFC58" s="119">
        <v>45913</v>
      </c>
      <c r="XFD58" s="113">
        <v>45862</v>
      </c>
    </row>
    <row r="59" spans="1:17 16383:16384" ht="15.75" customHeight="1" x14ac:dyDescent="0.2">
      <c r="A59" s="48"/>
      <c r="B59" s="48"/>
      <c r="C59" s="48"/>
      <c r="D59" s="48"/>
      <c r="F59" s="67"/>
      <c r="J59" s="186"/>
      <c r="M59" s="186"/>
      <c r="N59" s="186"/>
      <c r="Q59" s="191"/>
      <c r="XFC59" s="119">
        <v>45914</v>
      </c>
      <c r="XFD59" s="113">
        <v>45863</v>
      </c>
    </row>
    <row r="60" spans="1:17 16383:16384" ht="15.75" customHeight="1" x14ac:dyDescent="0.2">
      <c r="A60" s="48"/>
      <c r="B60" s="48"/>
      <c r="C60" s="48"/>
      <c r="D60" s="48"/>
      <c r="F60" s="67"/>
      <c r="M60" s="186"/>
      <c r="N60" s="186"/>
      <c r="Q60" s="191"/>
      <c r="XFC60" s="119">
        <v>45915</v>
      </c>
      <c r="XFD60" s="113">
        <v>45864</v>
      </c>
    </row>
    <row r="61" spans="1:17 16383:16384" ht="15.75" customHeight="1" x14ac:dyDescent="0.2">
      <c r="A61" s="48"/>
      <c r="B61" s="48"/>
      <c r="C61" s="48"/>
      <c r="D61" s="48"/>
      <c r="M61" s="186"/>
      <c r="N61" s="186"/>
      <c r="Q61" s="191"/>
      <c r="XFC61" s="119">
        <v>45916</v>
      </c>
      <c r="XFD61" s="113">
        <v>45865</v>
      </c>
    </row>
    <row r="62" spans="1:17 16383:16384" ht="15.75" customHeight="1" x14ac:dyDescent="0.2">
      <c r="A62" s="48"/>
      <c r="B62" s="48"/>
      <c r="C62" s="48"/>
      <c r="D62" s="48"/>
      <c r="M62" s="186"/>
      <c r="N62" s="186"/>
      <c r="Q62" s="191"/>
      <c r="XFC62" s="119">
        <v>45917</v>
      </c>
      <c r="XFD62" s="113">
        <v>45866</v>
      </c>
    </row>
    <row r="63" spans="1:17 16383:16384" ht="15.75" customHeight="1" x14ac:dyDescent="0.2">
      <c r="A63" s="48"/>
      <c r="B63" s="48"/>
      <c r="C63" s="48"/>
      <c r="D63" s="48"/>
      <c r="M63" s="186"/>
      <c r="N63" s="186"/>
      <c r="Q63" s="191"/>
      <c r="XFC63" s="119">
        <v>45918</v>
      </c>
      <c r="XFD63" s="113">
        <v>45867</v>
      </c>
    </row>
    <row r="64" spans="1:17 16383:16384" ht="15.75" customHeight="1" x14ac:dyDescent="0.2">
      <c r="A64" s="48"/>
      <c r="B64" s="48"/>
      <c r="C64" s="48"/>
      <c r="D64" s="48"/>
      <c r="M64" s="186"/>
      <c r="N64" s="186"/>
      <c r="Q64" s="191"/>
      <c r="XFC64" s="119">
        <v>45919</v>
      </c>
      <c r="XFD64" s="113">
        <v>45868</v>
      </c>
    </row>
    <row r="65" spans="1:17 16383:16384" ht="15.75" customHeight="1" x14ac:dyDescent="0.2">
      <c r="A65" s="48"/>
      <c r="B65" s="48"/>
      <c r="C65" s="48"/>
      <c r="D65" s="48"/>
      <c r="M65" s="186"/>
      <c r="N65" s="186"/>
      <c r="Q65" s="191"/>
      <c r="XFC65" s="119">
        <v>45920</v>
      </c>
      <c r="XFD65" s="113">
        <v>45869</v>
      </c>
    </row>
    <row r="66" spans="1:17 16383:16384" ht="15.75" customHeight="1" x14ac:dyDescent="0.2">
      <c r="A66" s="48"/>
      <c r="B66" s="48"/>
      <c r="C66" s="48"/>
      <c r="D66" s="48"/>
      <c r="M66" s="186"/>
      <c r="N66" s="186"/>
      <c r="Q66" s="191"/>
      <c r="XFC66" s="119">
        <v>45921</v>
      </c>
      <c r="XFD66" s="113">
        <v>45870</v>
      </c>
    </row>
    <row r="67" spans="1:17 16383:16384" ht="15.75" customHeight="1" x14ac:dyDescent="0.2">
      <c r="A67" s="48"/>
      <c r="B67" s="48"/>
      <c r="C67" s="48"/>
      <c r="D67" s="48"/>
      <c r="M67" s="186"/>
      <c r="N67" s="186"/>
      <c r="Q67" s="191"/>
      <c r="XFC67" s="119">
        <v>45922</v>
      </c>
      <c r="XFD67" s="113">
        <v>45871</v>
      </c>
    </row>
    <row r="68" spans="1:17 16383:16384" ht="15.75" customHeight="1" x14ac:dyDescent="0.2">
      <c r="A68" s="48"/>
      <c r="B68" s="48"/>
      <c r="C68" s="48"/>
      <c r="D68" s="48"/>
      <c r="M68" s="186"/>
      <c r="N68" s="186"/>
      <c r="Q68" s="191"/>
      <c r="XFC68" s="119">
        <v>45923</v>
      </c>
      <c r="XFD68" s="113">
        <v>45872</v>
      </c>
    </row>
    <row r="69" spans="1:17 16383:16384" ht="15.75" customHeight="1" x14ac:dyDescent="0.2">
      <c r="A69" s="48"/>
      <c r="B69" s="48"/>
      <c r="C69" s="48"/>
      <c r="D69" s="48"/>
      <c r="Q69" s="191"/>
      <c r="XFC69" s="119">
        <v>45924</v>
      </c>
      <c r="XFD69" s="113">
        <v>45873</v>
      </c>
    </row>
    <row r="70" spans="1:17 16383:16384" ht="15.75" customHeight="1" x14ac:dyDescent="0.2">
      <c r="A70" s="48"/>
      <c r="B70" s="48"/>
      <c r="C70" s="48"/>
      <c r="D70" s="48"/>
      <c r="Q70" s="191"/>
      <c r="XFC70" s="119">
        <v>45925</v>
      </c>
      <c r="XFD70" s="113">
        <v>45874</v>
      </c>
    </row>
    <row r="71" spans="1:17 16383:16384" ht="15.75" customHeight="1" x14ac:dyDescent="0.2">
      <c r="A71" s="48"/>
      <c r="B71" s="48"/>
      <c r="C71" s="48"/>
      <c r="D71" s="48"/>
      <c r="Q71" s="191"/>
      <c r="XFC71" s="119">
        <v>45926</v>
      </c>
      <c r="XFD71" s="113">
        <v>45875</v>
      </c>
    </row>
    <row r="72" spans="1:17 16383:16384" ht="15.75" customHeight="1" x14ac:dyDescent="0.2">
      <c r="A72" s="48"/>
      <c r="B72" s="48"/>
      <c r="C72" s="48"/>
      <c r="D72" s="48"/>
      <c r="Q72" s="191"/>
      <c r="XFC72" s="119">
        <v>45927</v>
      </c>
      <c r="XFD72" s="113">
        <v>45876</v>
      </c>
    </row>
    <row r="73" spans="1:17 16383:16384" ht="15.75" customHeight="1" x14ac:dyDescent="0.2">
      <c r="XFC73" s="119">
        <v>45928</v>
      </c>
      <c r="XFD73" s="113">
        <v>45877</v>
      </c>
    </row>
    <row r="74" spans="1:17 16383:16384" ht="15.75" customHeight="1" x14ac:dyDescent="0.2">
      <c r="XFC74" s="119">
        <v>45929</v>
      </c>
      <c r="XFD74" s="113">
        <v>45878</v>
      </c>
    </row>
    <row r="75" spans="1:17 16383:16384" ht="15.75" customHeight="1" x14ac:dyDescent="0.2">
      <c r="XFC75" s="119">
        <v>45930</v>
      </c>
      <c r="XFD75" s="113">
        <v>45879</v>
      </c>
    </row>
    <row r="76" spans="1:17 16383:16384" ht="15.75" customHeight="1" x14ac:dyDescent="0.2">
      <c r="XFC76" s="119">
        <v>45931</v>
      </c>
      <c r="XFD76" s="113">
        <v>45880</v>
      </c>
    </row>
    <row r="77" spans="1:17 16383:16384" ht="15.75" customHeight="1" x14ac:dyDescent="0.2">
      <c r="XFC77" s="119">
        <v>45932</v>
      </c>
      <c r="XFD77" s="113">
        <v>45881</v>
      </c>
    </row>
    <row r="78" spans="1:17 16383:16384" ht="15.75" customHeight="1" x14ac:dyDescent="0.2">
      <c r="XFC78" s="119">
        <v>45933</v>
      </c>
      <c r="XFD78" s="113">
        <v>45882</v>
      </c>
    </row>
    <row r="79" spans="1:17 16383:16384" ht="15.75" customHeight="1" x14ac:dyDescent="0.2">
      <c r="XFC79" s="119">
        <v>45934</v>
      </c>
      <c r="XFD79" s="113">
        <v>45883</v>
      </c>
    </row>
    <row r="80" spans="1:17 16383:16384" ht="15.75" customHeight="1" x14ac:dyDescent="0.2">
      <c r="XFC80" s="119">
        <v>45935</v>
      </c>
      <c r="XFD80" s="113">
        <v>45884</v>
      </c>
    </row>
    <row r="81" spans="16383:16384" ht="15.75" customHeight="1" x14ac:dyDescent="0.2">
      <c r="XFC81" s="119">
        <v>45936</v>
      </c>
      <c r="XFD81" s="113">
        <v>45885</v>
      </c>
    </row>
    <row r="82" spans="16383:16384" ht="15.75" customHeight="1" x14ac:dyDescent="0.2">
      <c r="XFC82" s="119">
        <v>45937</v>
      </c>
      <c r="XFD82" s="113">
        <v>45886</v>
      </c>
    </row>
    <row r="83" spans="16383:16384" ht="15.75" customHeight="1" x14ac:dyDescent="0.2">
      <c r="XFC83" s="119">
        <v>45938</v>
      </c>
      <c r="XFD83" s="113">
        <v>45887</v>
      </c>
    </row>
    <row r="84" spans="16383:16384" ht="15.75" customHeight="1" x14ac:dyDescent="0.2">
      <c r="XFC84" s="119">
        <v>45939</v>
      </c>
      <c r="XFD84" s="113">
        <v>45888</v>
      </c>
    </row>
    <row r="85" spans="16383:16384" ht="15.75" customHeight="1" x14ac:dyDescent="0.2">
      <c r="XFC85" s="119">
        <v>45940</v>
      </c>
      <c r="XFD85" s="113">
        <v>45889</v>
      </c>
    </row>
    <row r="86" spans="16383:16384" ht="15.75" customHeight="1" x14ac:dyDescent="0.2">
      <c r="XFC86" s="119">
        <v>45941</v>
      </c>
      <c r="XFD86" s="113">
        <v>45890</v>
      </c>
    </row>
    <row r="87" spans="16383:16384" ht="15.75" customHeight="1" x14ac:dyDescent="0.2">
      <c r="XFC87" s="119">
        <v>45942</v>
      </c>
      <c r="XFD87" s="113">
        <v>45891</v>
      </c>
    </row>
    <row r="88" spans="16383:16384" ht="15.75" customHeight="1" x14ac:dyDescent="0.2">
      <c r="XFC88" s="119">
        <v>45943</v>
      </c>
      <c r="XFD88" s="113">
        <v>45892</v>
      </c>
    </row>
    <row r="89" spans="16383:16384" ht="15.75" customHeight="1" x14ac:dyDescent="0.2">
      <c r="XFC89" s="119">
        <v>45944</v>
      </c>
      <c r="XFD89" s="113">
        <v>45893</v>
      </c>
    </row>
    <row r="90" spans="16383:16384" ht="15.75" customHeight="1" x14ac:dyDescent="0.2">
      <c r="XFC90" s="119">
        <v>45945</v>
      </c>
      <c r="XFD90" s="113">
        <v>45894</v>
      </c>
    </row>
    <row r="91" spans="16383:16384" ht="15.75" customHeight="1" x14ac:dyDescent="0.2">
      <c r="XFC91" s="119">
        <v>45946</v>
      </c>
      <c r="XFD91" s="113">
        <v>45895</v>
      </c>
    </row>
    <row r="92" spans="16383:16384" ht="15.75" customHeight="1" x14ac:dyDescent="0.2">
      <c r="XFC92" s="119">
        <v>45947</v>
      </c>
      <c r="XFD92" s="113">
        <v>45896</v>
      </c>
    </row>
    <row r="93" spans="16383:16384" ht="15.75" customHeight="1" x14ac:dyDescent="0.2">
      <c r="XFC93" s="119">
        <v>45948</v>
      </c>
      <c r="XFD93" s="113">
        <v>45897</v>
      </c>
    </row>
    <row r="94" spans="16383:16384" ht="15.75" customHeight="1" x14ac:dyDescent="0.2">
      <c r="XFC94" s="119">
        <v>45949</v>
      </c>
      <c r="XFD94" s="113">
        <v>45898</v>
      </c>
    </row>
    <row r="95" spans="16383:16384" ht="15.75" customHeight="1" x14ac:dyDescent="0.2">
      <c r="XFD95" s="113">
        <v>45899</v>
      </c>
    </row>
    <row r="96" spans="16383:16384" ht="15.75" customHeight="1" x14ac:dyDescent="0.2">
      <c r="XFD96" s="113">
        <v>45900</v>
      </c>
    </row>
    <row r="97" spans="16384:16384" ht="15.75" customHeight="1" x14ac:dyDescent="0.2">
      <c r="XFD97" s="113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sortState xmlns:xlrd2="http://schemas.microsoft.com/office/spreadsheetml/2017/richdata2" ref="A31:Q50">
    <sortCondition descending="1" ref="N31"/>
  </sortState>
  <mergeCells count="14">
    <mergeCell ref="A5:C5"/>
    <mergeCell ref="D12:E12"/>
    <mergeCell ref="D18:E18"/>
    <mergeCell ref="D25:E25"/>
    <mergeCell ref="D6:E6"/>
    <mergeCell ref="A29:C29"/>
    <mergeCell ref="D9:E9"/>
    <mergeCell ref="D19:E19"/>
    <mergeCell ref="D20:E20"/>
    <mergeCell ref="D21:E21"/>
    <mergeCell ref="D22:E22"/>
    <mergeCell ref="D23:E23"/>
    <mergeCell ref="D24:E24"/>
    <mergeCell ref="A17:C17"/>
  </mergeCells>
  <conditionalFormatting sqref="R31:R45">
    <cfRule type="expression" dxfId="2" priority="1">
      <formula>$H31&lt;=$R31</formula>
    </cfRule>
  </conditionalFormatting>
  <dataValidations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efresh_Daily_Data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5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44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100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54</v>
      </c>
      <c r="O8" s="11" t="s">
        <v>24</v>
      </c>
      <c r="P8" s="11" t="s">
        <v>25</v>
      </c>
      <c r="Q8" s="34" t="s">
        <v>53</v>
      </c>
    </row>
    <row r="9" spans="1:19" ht="15.75" customHeight="1" x14ac:dyDescent="0.2">
      <c r="A9" s="13" t="s">
        <v>26</v>
      </c>
      <c r="B9" s="14" t="s">
        <v>48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72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55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73</v>
      </c>
    </row>
    <row r="12" spans="1:19" ht="15.75" customHeight="1" x14ac:dyDescent="0.2">
      <c r="A12" s="13" t="s">
        <v>33</v>
      </c>
      <c r="B12" s="67" t="s">
        <v>78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55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55</v>
      </c>
    </row>
    <row r="14" spans="1:19" ht="15" customHeight="1" x14ac:dyDescent="0.2">
      <c r="A14" s="13" t="s">
        <v>33</v>
      </c>
      <c r="B14" s="67" t="s">
        <v>99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55</v>
      </c>
    </row>
    <row r="15" spans="1:19" ht="15" customHeight="1" x14ac:dyDescent="0.2">
      <c r="A15" s="13" t="s">
        <v>33</v>
      </c>
      <c r="B15" s="66" t="s">
        <v>83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55</v>
      </c>
    </row>
    <row r="16" spans="1:19" ht="15" customHeight="1" x14ac:dyDescent="0.2">
      <c r="A16" s="13" t="s">
        <v>33</v>
      </c>
      <c r="B16" s="66" t="s">
        <v>81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55</v>
      </c>
    </row>
    <row r="17" spans="1:18" ht="15" customHeight="1" x14ac:dyDescent="0.2">
      <c r="A17" s="13" t="s">
        <v>33</v>
      </c>
      <c r="B17" s="66" t="s">
        <v>80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55</v>
      </c>
    </row>
    <row r="18" spans="1:18" ht="15" customHeight="1" x14ac:dyDescent="0.2">
      <c r="A18" s="13"/>
      <c r="B18" s="67" t="s">
        <v>109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73</v>
      </c>
    </row>
    <row r="19" spans="1:18" ht="15" customHeight="1" x14ac:dyDescent="0.2">
      <c r="A19" s="13" t="s">
        <v>33</v>
      </c>
      <c r="B19" s="67" t="s">
        <v>77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73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88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73</v>
      </c>
    </row>
    <row r="22" spans="1:18" ht="15" customHeight="1" x14ac:dyDescent="0.2">
      <c r="A22" s="13" t="s">
        <v>33</v>
      </c>
      <c r="B22" s="67" t="s">
        <v>86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73</v>
      </c>
    </row>
    <row r="23" spans="1:18" ht="15" customHeight="1" x14ac:dyDescent="0.2">
      <c r="A23" s="13" t="s">
        <v>33</v>
      </c>
      <c r="B23" s="67" t="s">
        <v>87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73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85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73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56</v>
      </c>
      <c r="R27" t="s">
        <v>57</v>
      </c>
    </row>
    <row r="28" spans="1:18" ht="15.75" customHeight="1" x14ac:dyDescent="0.2">
      <c r="A28" s="13" t="s">
        <v>33</v>
      </c>
      <c r="B28" s="14" t="s">
        <v>45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56</v>
      </c>
      <c r="R28" t="s">
        <v>57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54" activePane="bottomLeft" state="frozen"/>
      <selection pane="bottomLeft" activeCell="D79" sqref="D79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62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00" t="s">
        <v>105</v>
      </c>
      <c r="B2" s="100" t="s">
        <v>110</v>
      </c>
      <c r="C2" s="100" t="s">
        <v>111</v>
      </c>
      <c r="D2" s="101" t="s">
        <v>112</v>
      </c>
      <c r="E2" s="101" t="s">
        <v>120</v>
      </c>
      <c r="F2" s="101" t="s">
        <v>113</v>
      </c>
      <c r="G2" s="102" t="s">
        <v>114</v>
      </c>
      <c r="H2" s="103" t="s">
        <v>131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115</v>
      </c>
      <c r="C3" s="105"/>
      <c r="D3" s="105"/>
      <c r="E3" s="105"/>
      <c r="F3" s="105">
        <f>118-45+100+14+40</f>
        <v>227</v>
      </c>
      <c r="G3" s="106" t="s">
        <v>153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116</v>
      </c>
      <c r="C4" s="107" t="s">
        <v>34</v>
      </c>
      <c r="D4" s="105">
        <v>3503</v>
      </c>
      <c r="E4" s="105">
        <f>40/D4</f>
        <v>1.1418783899514702E-2</v>
      </c>
      <c r="F4" s="105">
        <v>40</v>
      </c>
      <c r="G4" s="106" t="s">
        <v>154</v>
      </c>
      <c r="H4" s="25" t="s">
        <v>60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115</v>
      </c>
      <c r="C5" s="25"/>
      <c r="D5" s="25"/>
      <c r="E5" s="25"/>
      <c r="F5" s="25">
        <v>200</v>
      </c>
      <c r="G5" s="25" t="s">
        <v>46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115</v>
      </c>
      <c r="C6" s="25"/>
      <c r="D6" s="25"/>
      <c r="E6" s="25"/>
      <c r="F6" s="25">
        <v>75</v>
      </c>
      <c r="G6" s="25" t="s">
        <v>47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116</v>
      </c>
      <c r="C7" s="25" t="s">
        <v>48</v>
      </c>
      <c r="D7" s="25">
        <v>64306</v>
      </c>
      <c r="E7" s="25">
        <v>3.1E-4</v>
      </c>
      <c r="F7" s="25">
        <f>D7*E7</f>
        <v>19.93486</v>
      </c>
      <c r="G7" s="25" t="s">
        <v>49</v>
      </c>
      <c r="H7" s="25" t="s">
        <v>60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115</v>
      </c>
      <c r="C8" s="25"/>
      <c r="D8" s="25"/>
      <c r="E8" s="25"/>
      <c r="F8" s="25">
        <v>189</v>
      </c>
      <c r="G8" s="25" t="s">
        <v>50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116</v>
      </c>
      <c r="C9" s="25" t="s">
        <v>48</v>
      </c>
      <c r="D9" s="25">
        <v>60000</v>
      </c>
      <c r="E9" s="25">
        <v>1.57E-3</v>
      </c>
      <c r="F9" s="25">
        <f>D9*E9</f>
        <v>94.2</v>
      </c>
      <c r="G9" s="25" t="s">
        <v>51</v>
      </c>
      <c r="H9" s="25" t="s">
        <v>60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116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52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115</v>
      </c>
      <c r="C11" s="25"/>
      <c r="D11" s="25"/>
      <c r="E11" s="25"/>
      <c r="F11" s="25">
        <v>581</v>
      </c>
      <c r="G11" s="25" t="s">
        <v>59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116</v>
      </c>
      <c r="C12" s="25" t="s">
        <v>48</v>
      </c>
      <c r="D12" s="25">
        <v>65000</v>
      </c>
      <c r="E12" s="25">
        <v>6.1500000000000001E-3</v>
      </c>
      <c r="F12" s="25">
        <f>D12*E12</f>
        <v>399.75</v>
      </c>
      <c r="G12" s="25" t="s">
        <v>69</v>
      </c>
      <c r="H12" s="25" t="s">
        <v>60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116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58</v>
      </c>
      <c r="H13" s="25" t="s">
        <v>60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115</v>
      </c>
      <c r="C14" s="25"/>
      <c r="D14" s="25"/>
      <c r="E14" s="25"/>
      <c r="F14" s="25">
        <v>577</v>
      </c>
      <c r="G14" s="25" t="s">
        <v>63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116</v>
      </c>
      <c r="C15" s="25" t="s">
        <v>48</v>
      </c>
      <c r="D15" s="25">
        <v>60000</v>
      </c>
      <c r="E15" s="25">
        <v>6.6699999999999997E-3</v>
      </c>
      <c r="F15" s="25">
        <f>D15*E15</f>
        <v>400.2</v>
      </c>
      <c r="G15" s="25" t="s">
        <v>65</v>
      </c>
      <c r="H15" s="25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116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64</v>
      </c>
      <c r="H16" s="25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115</v>
      </c>
      <c r="C17" s="25"/>
      <c r="D17" s="25"/>
      <c r="E17" s="25"/>
      <c r="F17" s="25">
        <v>384</v>
      </c>
      <c r="G17" s="25" t="s">
        <v>61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116</v>
      </c>
      <c r="C18" s="25" t="s">
        <v>48</v>
      </c>
      <c r="D18" s="25">
        <v>55000</v>
      </c>
      <c r="E18" s="25">
        <v>3.4499999999999999E-3</v>
      </c>
      <c r="F18" s="25">
        <f>D18*E18</f>
        <v>189.75</v>
      </c>
      <c r="G18" s="25" t="s">
        <v>67</v>
      </c>
      <c r="H18" s="25" t="s">
        <v>60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116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68</v>
      </c>
      <c r="H19" s="25" t="s">
        <v>60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115</v>
      </c>
      <c r="C20" s="25"/>
      <c r="D20" s="25"/>
      <c r="E20" s="25"/>
      <c r="F20" s="25">
        <v>792</v>
      </c>
      <c r="G20" s="25" t="s">
        <v>74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116</v>
      </c>
      <c r="C21" s="25" t="s">
        <v>48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70</v>
      </c>
      <c r="H21" s="25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116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71</v>
      </c>
      <c r="H22" s="25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118</v>
      </c>
      <c r="C23" s="25" t="s">
        <v>48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76</v>
      </c>
      <c r="H23" s="25" t="s">
        <v>66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116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75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118</v>
      </c>
      <c r="C25" s="25" t="s">
        <v>48</v>
      </c>
      <c r="D25" s="25">
        <v>93000</v>
      </c>
      <c r="E25" s="25">
        <v>3.0000000000000001E-3</v>
      </c>
      <c r="F25" s="25">
        <f t="shared" si="0"/>
        <v>279</v>
      </c>
      <c r="G25" s="104" t="s">
        <v>96</v>
      </c>
      <c r="H25" s="25" t="s">
        <v>66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118</v>
      </c>
      <c r="C26" s="25" t="s">
        <v>48</v>
      </c>
      <c r="D26" s="25">
        <v>94000</v>
      </c>
      <c r="E26" s="25">
        <v>6.0000000000000001E-3</v>
      </c>
      <c r="F26" s="25">
        <f t="shared" si="0"/>
        <v>564</v>
      </c>
      <c r="G26" s="104" t="s">
        <v>96</v>
      </c>
      <c r="H26" s="25" t="s">
        <v>60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118</v>
      </c>
      <c r="C27" s="25" t="s">
        <v>48</v>
      </c>
      <c r="D27" s="25">
        <v>100000</v>
      </c>
      <c r="E27" s="25">
        <v>2.7399999999999998E-3</v>
      </c>
      <c r="F27" s="25">
        <f t="shared" si="0"/>
        <v>274</v>
      </c>
      <c r="G27" s="104" t="s">
        <v>79</v>
      </c>
      <c r="H27" s="25" t="s">
        <v>60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115</v>
      </c>
      <c r="C28" s="25"/>
      <c r="D28" s="25"/>
      <c r="E28" s="25"/>
      <c r="F28" s="25">
        <v>115.38</v>
      </c>
      <c r="G28" s="25" t="s">
        <v>101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118</v>
      </c>
      <c r="C29" s="25" t="s">
        <v>48</v>
      </c>
      <c r="D29" s="25">
        <v>104215</v>
      </c>
      <c r="E29" s="25">
        <v>7.3999999999999999E-4</v>
      </c>
      <c r="F29" s="25">
        <f>D29*E29</f>
        <v>77.119100000000003</v>
      </c>
      <c r="G29" s="104" t="s">
        <v>82</v>
      </c>
      <c r="H29" s="25" t="s">
        <v>60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115</v>
      </c>
      <c r="C30" s="25"/>
      <c r="D30" s="25"/>
      <c r="E30" s="25"/>
      <c r="F30" s="25">
        <v>384.6</v>
      </c>
      <c r="G30" s="25" t="s">
        <v>102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116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84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116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89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118</v>
      </c>
      <c r="C33" s="25" t="s">
        <v>48</v>
      </c>
      <c r="D33" s="25">
        <v>99000</v>
      </c>
      <c r="E33" s="25">
        <v>3.21419E-3</v>
      </c>
      <c r="F33" s="25">
        <f>D33*E33</f>
        <v>318.20481000000001</v>
      </c>
      <c r="G33" s="25" t="s">
        <v>90</v>
      </c>
      <c r="H33" s="25" t="s">
        <v>66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118</v>
      </c>
      <c r="C34" s="25" t="s">
        <v>48</v>
      </c>
      <c r="D34" s="25">
        <v>103753</v>
      </c>
      <c r="E34" s="25">
        <v>1.0399999999999999E-4</v>
      </c>
      <c r="F34" s="25">
        <f>D34*E34</f>
        <v>10.790312</v>
      </c>
      <c r="G34" s="25" t="s">
        <v>97</v>
      </c>
      <c r="H34" s="25" t="s">
        <v>66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118</v>
      </c>
      <c r="C35" s="25" t="s">
        <v>48</v>
      </c>
      <c r="D35" s="25">
        <v>83000</v>
      </c>
      <c r="E35" s="25">
        <v>2E-3</v>
      </c>
      <c r="F35" s="25">
        <f>D35*E35</f>
        <v>166</v>
      </c>
      <c r="G35" s="25" t="s">
        <v>98</v>
      </c>
      <c r="H35" s="25" t="s">
        <v>60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115</v>
      </c>
      <c r="C36" s="25"/>
      <c r="D36" s="25"/>
      <c r="E36" s="25"/>
      <c r="F36" s="25">
        <v>1104</v>
      </c>
      <c r="G36" s="25" t="s">
        <v>103</v>
      </c>
      <c r="H36" s="25" t="s">
        <v>60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117</v>
      </c>
      <c r="C37" s="25"/>
      <c r="D37" s="25"/>
      <c r="E37" s="25"/>
      <c r="F37" s="25">
        <v>300</v>
      </c>
      <c r="G37" s="25" t="s">
        <v>607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116</v>
      </c>
      <c r="C38" s="25" t="s">
        <v>78</v>
      </c>
      <c r="D38" s="25">
        <v>757.8</v>
      </c>
      <c r="E38" s="25">
        <v>0.58620000000000005</v>
      </c>
      <c r="F38" s="25">
        <f t="shared" ref="F38:F75" si="1">D38*E38</f>
        <v>444.22236000000004</v>
      </c>
      <c r="G38" s="25" t="s">
        <v>152</v>
      </c>
      <c r="H38" s="25" t="s">
        <v>60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116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152</v>
      </c>
      <c r="H39" s="25" t="s">
        <v>60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116</v>
      </c>
      <c r="C40" s="25" t="s">
        <v>99</v>
      </c>
      <c r="D40" s="25">
        <v>3.45</v>
      </c>
      <c r="E40" s="25">
        <v>25.1</v>
      </c>
      <c r="F40" s="25">
        <f t="shared" si="1"/>
        <v>86.595000000000013</v>
      </c>
      <c r="G40" s="25" t="s">
        <v>152</v>
      </c>
      <c r="H40" s="25" t="s">
        <v>60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116</v>
      </c>
      <c r="C41" s="25" t="s">
        <v>83</v>
      </c>
      <c r="D41" s="25">
        <v>2.2599999999999999E-2</v>
      </c>
      <c r="E41" s="25">
        <v>2059</v>
      </c>
      <c r="F41" s="25">
        <f t="shared" si="1"/>
        <v>46.5334</v>
      </c>
      <c r="G41" s="25" t="s">
        <v>152</v>
      </c>
      <c r="H41" s="25" t="s">
        <v>60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116</v>
      </c>
      <c r="C42" s="25" t="s">
        <v>81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152</v>
      </c>
      <c r="H42" s="25" t="s">
        <v>60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116</v>
      </c>
      <c r="C43" s="25" t="s">
        <v>80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152</v>
      </c>
      <c r="H43" s="25" t="s">
        <v>60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116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152</v>
      </c>
      <c r="H44" s="25" t="s">
        <v>66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116</v>
      </c>
      <c r="C45" s="25" t="s">
        <v>77</v>
      </c>
      <c r="D45" s="25">
        <v>0.96399999999999997</v>
      </c>
      <c r="E45" s="25">
        <v>93.75</v>
      </c>
      <c r="F45" s="25">
        <f t="shared" si="1"/>
        <v>90.375</v>
      </c>
      <c r="G45" s="25" t="s">
        <v>152</v>
      </c>
      <c r="H45" s="25" t="s">
        <v>66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116</v>
      </c>
      <c r="C46" s="25" t="s">
        <v>109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152</v>
      </c>
      <c r="H46" s="25" t="s">
        <v>66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116</v>
      </c>
      <c r="C47" s="25" t="s">
        <v>88</v>
      </c>
      <c r="D47" s="25">
        <v>16.07</v>
      </c>
      <c r="E47" s="25">
        <v>2.5</v>
      </c>
      <c r="F47" s="25">
        <f t="shared" si="1"/>
        <v>40.174999999999997</v>
      </c>
      <c r="G47" s="25" t="s">
        <v>152</v>
      </c>
      <c r="H47" s="25" t="s">
        <v>66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116</v>
      </c>
      <c r="C48" s="25" t="s">
        <v>86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152</v>
      </c>
      <c r="H48" s="25" t="s">
        <v>66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116</v>
      </c>
      <c r="C49" s="25" t="s">
        <v>87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152</v>
      </c>
      <c r="H49" s="25" t="s">
        <v>66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116</v>
      </c>
      <c r="C50" s="25" t="s">
        <v>85</v>
      </c>
      <c r="D50" s="25">
        <v>6.94</v>
      </c>
      <c r="E50" s="25">
        <v>3.3</v>
      </c>
      <c r="F50" s="25">
        <f t="shared" si="1"/>
        <v>22.902000000000001</v>
      </c>
      <c r="G50" s="25" t="s">
        <v>152</v>
      </c>
      <c r="H50" s="25" t="s">
        <v>66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116</v>
      </c>
      <c r="C51" s="25" t="s">
        <v>608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137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118</v>
      </c>
      <c r="C52" s="25" t="s">
        <v>608</v>
      </c>
      <c r="D52" s="25">
        <v>0</v>
      </c>
      <c r="E52" s="25">
        <v>387.7</v>
      </c>
      <c r="F52" s="25">
        <f t="shared" si="1"/>
        <v>0</v>
      </c>
      <c r="G52" s="25" t="s">
        <v>609</v>
      </c>
      <c r="H52" s="25" t="s">
        <v>137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116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119</v>
      </c>
      <c r="H53" s="25" t="s">
        <v>60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116</v>
      </c>
      <c r="C54" s="25" t="s">
        <v>149</v>
      </c>
      <c r="D54" s="25">
        <v>1.2206999999999999</v>
      </c>
      <c r="E54" s="25">
        <v>81.92</v>
      </c>
      <c r="F54" s="25">
        <f t="shared" si="1"/>
        <v>99.999743999999993</v>
      </c>
      <c r="G54" s="104" t="s">
        <v>151</v>
      </c>
      <c r="H54" s="25" t="s">
        <v>137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116</v>
      </c>
      <c r="C55" s="25" t="s">
        <v>150</v>
      </c>
      <c r="D55" s="25">
        <v>50.74</v>
      </c>
      <c r="E55" s="25">
        <v>1.97</v>
      </c>
      <c r="F55" s="25">
        <f t="shared" si="1"/>
        <v>99.957800000000006</v>
      </c>
      <c r="G55" s="104" t="s">
        <v>151</v>
      </c>
      <c r="H55" s="25" t="s">
        <v>137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1">
        <v>45913</v>
      </c>
      <c r="B56" s="25" t="s">
        <v>115</v>
      </c>
      <c r="C56" s="25"/>
      <c r="D56" s="25"/>
      <c r="E56" s="25"/>
      <c r="F56" s="25">
        <v>37.700000000000003</v>
      </c>
      <c r="G56" s="104" t="s">
        <v>675</v>
      </c>
      <c r="H56" s="25" t="s">
        <v>60</v>
      </c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1">
        <v>45913</v>
      </c>
      <c r="B57" s="25" t="s">
        <v>116</v>
      </c>
      <c r="C57" s="25" t="s">
        <v>41</v>
      </c>
      <c r="D57" s="25">
        <v>0.54</v>
      </c>
      <c r="E57" s="25">
        <v>69.8</v>
      </c>
      <c r="F57" s="25">
        <f t="shared" si="1"/>
        <v>37.692</v>
      </c>
      <c r="G57" s="104" t="s">
        <v>675</v>
      </c>
      <c r="H57" s="25" t="s">
        <v>60</v>
      </c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1">
        <v>45918</v>
      </c>
      <c r="B58" s="25" t="s">
        <v>116</v>
      </c>
      <c r="C58" s="25" t="s">
        <v>149</v>
      </c>
      <c r="D58" s="25">
        <v>1.7865</v>
      </c>
      <c r="E58" s="25">
        <v>111.95</v>
      </c>
      <c r="F58" s="25">
        <f t="shared" si="1"/>
        <v>199.99867499999999</v>
      </c>
      <c r="G58" s="104" t="s">
        <v>707</v>
      </c>
      <c r="H58" s="25" t="s">
        <v>137</v>
      </c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1">
        <v>45918</v>
      </c>
      <c r="B59" s="25" t="s">
        <v>116</v>
      </c>
      <c r="C59" s="25" t="s">
        <v>35</v>
      </c>
      <c r="D59" s="25">
        <v>248.15</v>
      </c>
      <c r="E59" s="25">
        <v>0.40200000000000002</v>
      </c>
      <c r="F59" s="25">
        <f t="shared" si="1"/>
        <v>99.75630000000001</v>
      </c>
      <c r="G59" s="104" t="s">
        <v>710</v>
      </c>
      <c r="H59" s="25" t="s">
        <v>60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1">
        <v>45919</v>
      </c>
      <c r="B60" s="25" t="s">
        <v>118</v>
      </c>
      <c r="C60" s="20" t="s">
        <v>149</v>
      </c>
      <c r="D60" s="73">
        <v>1.649</v>
      </c>
      <c r="E60" s="20">
        <v>112</v>
      </c>
      <c r="F60" s="20">
        <f t="shared" si="1"/>
        <v>184.68799999999999</v>
      </c>
      <c r="G60" s="27" t="s">
        <v>711</v>
      </c>
      <c r="H60" s="25" t="s">
        <v>137</v>
      </c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ht="25.5" x14ac:dyDescent="0.2">
      <c r="A61" s="71">
        <v>45928</v>
      </c>
      <c r="B61" s="25" t="s">
        <v>116</v>
      </c>
      <c r="C61" s="20" t="s">
        <v>34</v>
      </c>
      <c r="D61" s="73">
        <v>3998</v>
      </c>
      <c r="E61" s="20">
        <v>0.05</v>
      </c>
      <c r="F61" s="20">
        <f t="shared" si="1"/>
        <v>199.9</v>
      </c>
      <c r="G61" s="27" t="s">
        <v>734</v>
      </c>
      <c r="H61" s="25" t="s">
        <v>60</v>
      </c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71">
        <v>45928</v>
      </c>
      <c r="B62" s="25" t="s">
        <v>116</v>
      </c>
      <c r="C62" s="20" t="s">
        <v>34</v>
      </c>
      <c r="D62" s="20">
        <v>4018</v>
      </c>
      <c r="E62" s="20">
        <v>7.46E-2</v>
      </c>
      <c r="F62" s="20">
        <f t="shared" si="1"/>
        <v>299.74279999999999</v>
      </c>
      <c r="G62" s="27" t="s">
        <v>736</v>
      </c>
      <c r="H62" s="25" t="s">
        <v>60</v>
      </c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71">
        <v>45928</v>
      </c>
      <c r="B63" s="25" t="s">
        <v>116</v>
      </c>
      <c r="C63" s="20" t="s">
        <v>35</v>
      </c>
      <c r="D63" s="20">
        <v>201.22</v>
      </c>
      <c r="E63" s="20">
        <v>1.49</v>
      </c>
      <c r="F63" s="20">
        <f t="shared" si="1"/>
        <v>299.81779999999998</v>
      </c>
      <c r="G63" s="27" t="s">
        <v>736</v>
      </c>
      <c r="H63" s="25" t="s">
        <v>60</v>
      </c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ht="38.25" x14ac:dyDescent="0.2">
      <c r="A64" s="171">
        <v>45929</v>
      </c>
      <c r="B64" s="25" t="s">
        <v>115</v>
      </c>
      <c r="C64" s="20"/>
      <c r="D64" s="20"/>
      <c r="E64" s="20"/>
      <c r="F64" s="20">
        <v>600</v>
      </c>
      <c r="G64" s="27" t="s">
        <v>737</v>
      </c>
      <c r="H64" s="20" t="s">
        <v>60</v>
      </c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171">
        <v>45936</v>
      </c>
      <c r="B65" s="25" t="s">
        <v>116</v>
      </c>
      <c r="C65" s="20" t="s">
        <v>35</v>
      </c>
      <c r="D65" s="20">
        <v>235.95</v>
      </c>
      <c r="E65" s="20">
        <v>1.6950000000000001</v>
      </c>
      <c r="F65" s="20">
        <f t="shared" si="1"/>
        <v>399.93525</v>
      </c>
      <c r="G65" s="27" t="s">
        <v>738</v>
      </c>
      <c r="H65" s="20" t="s">
        <v>60</v>
      </c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171">
        <v>45936</v>
      </c>
      <c r="B66" s="25" t="s">
        <v>116</v>
      </c>
      <c r="C66" s="20" t="s">
        <v>739</v>
      </c>
      <c r="D66" s="20">
        <v>2</v>
      </c>
      <c r="E66" s="20">
        <v>100</v>
      </c>
      <c r="F66" s="20">
        <f t="shared" si="1"/>
        <v>200</v>
      </c>
      <c r="G66" s="27" t="s">
        <v>740</v>
      </c>
      <c r="H66" s="20" t="s">
        <v>60</v>
      </c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171">
        <v>45940</v>
      </c>
      <c r="B67" s="25" t="s">
        <v>116</v>
      </c>
      <c r="C67" s="20" t="s">
        <v>34</v>
      </c>
      <c r="D67" s="20">
        <v>4050</v>
      </c>
      <c r="E67" s="20">
        <v>6.1699999999999998E-2</v>
      </c>
      <c r="F67" s="20">
        <f t="shared" si="1"/>
        <v>249.88499999999999</v>
      </c>
      <c r="G67" s="27" t="s">
        <v>64</v>
      </c>
      <c r="H67" s="20" t="s">
        <v>60</v>
      </c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171">
        <v>45944</v>
      </c>
      <c r="B68" s="25" t="s">
        <v>115</v>
      </c>
      <c r="C68" s="20"/>
      <c r="D68" s="20"/>
      <c r="E68" s="20"/>
      <c r="F68" s="20">
        <v>551.36</v>
      </c>
      <c r="G68" s="27" t="s">
        <v>741</v>
      </c>
      <c r="H68" s="20" t="s">
        <v>60</v>
      </c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171">
        <v>45944</v>
      </c>
      <c r="B69" s="25" t="s">
        <v>116</v>
      </c>
      <c r="C69" s="20" t="s">
        <v>34</v>
      </c>
      <c r="D69" s="20">
        <v>4039</v>
      </c>
      <c r="E69" s="20">
        <v>9.9000000000000005E-2</v>
      </c>
      <c r="F69" s="20">
        <f t="shared" si="1"/>
        <v>399.86100000000005</v>
      </c>
      <c r="G69" s="27" t="s">
        <v>742</v>
      </c>
      <c r="H69" s="20" t="s">
        <v>60</v>
      </c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171">
        <v>45944</v>
      </c>
      <c r="B70" s="25" t="s">
        <v>116</v>
      </c>
      <c r="C70" s="20" t="s">
        <v>35</v>
      </c>
      <c r="D70" s="20">
        <v>195.47</v>
      </c>
      <c r="E70" s="20">
        <v>0.76700000000000002</v>
      </c>
      <c r="F70" s="20">
        <f t="shared" si="1"/>
        <v>149.92549</v>
      </c>
      <c r="G70" s="27" t="s">
        <v>743</v>
      </c>
      <c r="H70" s="20" t="s">
        <v>60</v>
      </c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ht="38.25" x14ac:dyDescent="0.2">
      <c r="A71" s="171">
        <v>45945</v>
      </c>
      <c r="B71" s="25" t="s">
        <v>115</v>
      </c>
      <c r="C71" s="20"/>
      <c r="D71" s="20"/>
      <c r="E71" s="20"/>
      <c r="F71" s="20">
        <v>554.49</v>
      </c>
      <c r="G71" s="27" t="s">
        <v>744</v>
      </c>
      <c r="H71" s="20" t="s">
        <v>60</v>
      </c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171">
        <v>45945</v>
      </c>
      <c r="B72" s="59" t="s">
        <v>116</v>
      </c>
      <c r="C72" s="20" t="s">
        <v>739</v>
      </c>
      <c r="D72" s="20">
        <v>1.4</v>
      </c>
      <c r="E72" s="20">
        <v>28.57</v>
      </c>
      <c r="F72" s="20">
        <f t="shared" si="1"/>
        <v>39.997999999999998</v>
      </c>
      <c r="G72" s="27" t="s">
        <v>745</v>
      </c>
      <c r="H72" s="20" t="s">
        <v>60</v>
      </c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ht="25.5" x14ac:dyDescent="0.2">
      <c r="A73" s="171">
        <v>45947</v>
      </c>
      <c r="B73" s="20" t="s">
        <v>118</v>
      </c>
      <c r="C73" s="20" t="s">
        <v>85</v>
      </c>
      <c r="D73" s="20">
        <v>3.802</v>
      </c>
      <c r="E73" s="20">
        <v>3.3</v>
      </c>
      <c r="F73" s="20">
        <f t="shared" si="1"/>
        <v>12.5466</v>
      </c>
      <c r="G73" s="27" t="s">
        <v>746</v>
      </c>
      <c r="H73" s="20" t="s">
        <v>66</v>
      </c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ht="25.5" x14ac:dyDescent="0.2">
      <c r="A74" s="171">
        <v>45947</v>
      </c>
      <c r="B74" s="20" t="s">
        <v>118</v>
      </c>
      <c r="C74" s="20" t="s">
        <v>83</v>
      </c>
      <c r="D74" s="20">
        <v>1.695E-2</v>
      </c>
      <c r="E74" s="20">
        <v>2059.3000000000002</v>
      </c>
      <c r="F74" s="20">
        <f t="shared" si="1"/>
        <v>34.905135000000001</v>
      </c>
      <c r="G74" s="27" t="s">
        <v>747</v>
      </c>
      <c r="H74" s="20" t="s">
        <v>60</v>
      </c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171">
        <v>45947</v>
      </c>
      <c r="B75" s="25" t="s">
        <v>118</v>
      </c>
      <c r="C75" s="20" t="s">
        <v>99</v>
      </c>
      <c r="D75" s="20">
        <v>2.4500000000000002</v>
      </c>
      <c r="E75" s="20">
        <v>25.1</v>
      </c>
      <c r="F75" s="20">
        <f t="shared" si="1"/>
        <v>61.495000000000005</v>
      </c>
      <c r="G75" s="27" t="s">
        <v>767</v>
      </c>
      <c r="H75" s="20" t="s">
        <v>60</v>
      </c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disablePrompts="1" count="1">
    <dataValidation type="list" allowBlank="1" showInputMessage="1" showErrorMessage="1" sqref="B3:B55 B60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116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118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116</v>
      </c>
      <c r="C3" s="20" t="s">
        <v>48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118</v>
      </c>
      <c r="C4" s="20" t="s">
        <v>48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105</v>
      </c>
      <c r="B9" s="21" t="s">
        <v>110</v>
      </c>
      <c r="C9" s="21" t="s">
        <v>111</v>
      </c>
      <c r="D9" s="22" t="s">
        <v>112</v>
      </c>
      <c r="E9" s="22" t="s">
        <v>120</v>
      </c>
      <c r="F9" s="22" t="s">
        <v>113</v>
      </c>
    </row>
    <row r="10" spans="1:6" x14ac:dyDescent="0.2">
      <c r="A10" s="71">
        <v>44873</v>
      </c>
      <c r="B10" s="25" t="s">
        <v>115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116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117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115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118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115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115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116</v>
      </c>
      <c r="C17" s="25" t="s">
        <v>48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115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116</v>
      </c>
      <c r="C19" s="25" t="s">
        <v>48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116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115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116</v>
      </c>
      <c r="C22" s="25" t="s">
        <v>48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116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115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116</v>
      </c>
      <c r="C25" s="25" t="s">
        <v>48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116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115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116</v>
      </c>
      <c r="C28" s="25" t="s">
        <v>48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116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115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116</v>
      </c>
      <c r="C31" s="25" t="s">
        <v>48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116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118</v>
      </c>
      <c r="C33" s="59" t="s">
        <v>48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116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118</v>
      </c>
      <c r="C35" s="20" t="s">
        <v>48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118</v>
      </c>
      <c r="C36" s="20" t="s">
        <v>48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118</v>
      </c>
      <c r="C37" s="20" t="s">
        <v>48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115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118</v>
      </c>
      <c r="C39" s="20" t="s">
        <v>48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115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116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116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118</v>
      </c>
      <c r="C43" s="20" t="s">
        <v>48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118</v>
      </c>
      <c r="C44" s="20" t="s">
        <v>48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118</v>
      </c>
      <c r="C45" s="20" t="s">
        <v>48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115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116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68"/>
  <sheetViews>
    <sheetView zoomScale="130" zoomScaleNormal="130" workbookViewId="0">
      <pane ySplit="1" topLeftCell="A528" activePane="bottomLeft" state="frozen"/>
      <selection pane="bottomLeft" activeCell="A2" sqref="A2:L568"/>
    </sheetView>
  </sheetViews>
  <sheetFormatPr defaultRowHeight="12.75" x14ac:dyDescent="0.2"/>
  <cols>
    <col min="1" max="1" width="10.28515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6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83" bestFit="1" customWidth="1"/>
    <col min="19" max="21" width="5.5703125" style="23" bestFit="1" customWidth="1"/>
  </cols>
  <sheetData>
    <row r="1" spans="1:21" s="90" customFormat="1" ht="26.25" customHeight="1" x14ac:dyDescent="0.2">
      <c r="A1" s="84" t="s">
        <v>105</v>
      </c>
      <c r="B1" s="85" t="s">
        <v>138</v>
      </c>
      <c r="C1" s="85" t="s">
        <v>111</v>
      </c>
      <c r="D1" s="85" t="s">
        <v>0</v>
      </c>
      <c r="E1" s="85" t="s">
        <v>106</v>
      </c>
      <c r="F1" s="85" t="s">
        <v>107</v>
      </c>
      <c r="G1" s="85" t="s">
        <v>108</v>
      </c>
      <c r="H1" s="82" t="s">
        <v>48</v>
      </c>
      <c r="I1" s="82" t="s">
        <v>142</v>
      </c>
      <c r="J1" s="82" t="s">
        <v>141</v>
      </c>
      <c r="K1" s="82" t="s">
        <v>140</v>
      </c>
      <c r="L1" s="95" t="s">
        <v>145</v>
      </c>
      <c r="M1" s="86"/>
      <c r="N1" s="87"/>
      <c r="O1" s="85"/>
      <c r="P1" s="85"/>
      <c r="Q1" s="88"/>
      <c r="R1" s="89"/>
      <c r="S1" s="85"/>
      <c r="T1" s="85"/>
      <c r="U1" s="85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156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157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158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158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158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158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159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160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156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156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156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157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161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162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163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163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164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165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166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167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167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168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169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170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170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171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172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172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173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174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175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176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177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171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178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165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179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164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180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181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181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182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183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184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185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186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187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188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189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190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191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192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193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194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192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195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196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197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198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199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198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200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198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201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202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203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202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204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204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205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206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207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208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209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210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211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212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213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214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215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216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217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218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219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220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221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222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223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224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225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226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227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228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229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230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231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232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233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234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235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236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237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238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239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240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241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242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243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244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245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246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247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248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249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250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251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252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253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254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255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256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257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258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259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260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261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262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263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264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265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266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267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268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269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270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271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272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273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274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275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276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277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278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279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280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281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282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283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284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285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286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287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288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289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290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291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292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293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294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295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296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297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298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299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300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301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302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303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304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305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306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307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308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309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310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311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312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313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314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315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316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317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318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319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320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321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322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322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323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324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325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326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327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328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329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330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331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332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333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334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335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336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337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338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339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340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341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342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343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344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345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346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347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348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349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350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351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352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353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354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355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356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357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358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359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360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361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362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363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364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365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366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367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368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369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370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371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372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373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374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375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376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377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378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379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380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381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382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383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384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385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386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387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388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389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390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391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392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393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394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395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396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397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398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399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400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401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402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403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404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405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406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407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408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409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410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411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412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413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414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415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416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417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418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419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420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421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422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423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424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425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426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427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428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429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430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431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432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433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434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435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436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437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438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439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440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441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442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443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444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445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446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447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448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449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450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451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452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453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454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455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456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457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458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459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460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456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461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462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463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464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465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466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467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468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469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470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471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472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473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474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475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476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477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478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479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480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481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482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483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484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485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486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487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488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489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490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491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492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493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494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495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496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497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498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499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500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502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502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503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504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505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506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507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508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509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510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511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512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513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514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515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516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517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516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518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519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520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521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522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523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524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525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526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527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528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529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530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531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523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502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532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533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534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535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536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537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538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539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540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541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542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543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544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545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546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547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548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549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546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550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551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552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553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549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544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554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555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556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555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557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542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545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558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538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559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560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561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562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549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563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564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558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548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565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566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567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568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569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570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571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572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573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574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575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576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577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578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579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580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581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578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582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583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584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585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586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587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588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589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590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591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592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593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594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595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596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597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598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599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600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601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602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603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604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605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606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3470</v>
      </c>
      <c r="J489" s="23">
        <v>329</v>
      </c>
      <c r="K489" s="23">
        <v>21</v>
      </c>
      <c r="L489" s="32" t="s">
        <v>610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5017</v>
      </c>
      <c r="E490" s="23">
        <v>4629</v>
      </c>
      <c r="F490" s="23">
        <v>300</v>
      </c>
      <c r="G490" s="23">
        <v>689</v>
      </c>
      <c r="H490" s="23">
        <v>0</v>
      </c>
      <c r="I490" s="23">
        <v>3377</v>
      </c>
      <c r="J490" s="23">
        <v>319</v>
      </c>
      <c r="K490" s="23">
        <v>21</v>
      </c>
      <c r="L490" s="32" t="s">
        <v>611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5130</v>
      </c>
      <c r="E491" s="23">
        <v>4629</v>
      </c>
      <c r="F491" s="23">
        <v>300</v>
      </c>
      <c r="G491" s="23">
        <v>802</v>
      </c>
      <c r="H491" s="23">
        <v>0</v>
      </c>
      <c r="I491" s="23">
        <v>3473</v>
      </c>
      <c r="J491" s="23">
        <v>334</v>
      </c>
      <c r="K491" s="23">
        <v>21</v>
      </c>
      <c r="L491" s="32" t="s">
        <v>612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5327</v>
      </c>
      <c r="E492" s="23">
        <v>4629</v>
      </c>
      <c r="F492" s="23">
        <v>300</v>
      </c>
      <c r="G492" s="23">
        <v>999</v>
      </c>
      <c r="H492" s="23">
        <v>0</v>
      </c>
      <c r="I492" s="23">
        <v>3658</v>
      </c>
      <c r="J492" s="23">
        <v>346</v>
      </c>
      <c r="K492" s="23">
        <v>23</v>
      </c>
      <c r="L492" s="32" t="s">
        <v>613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5203</v>
      </c>
      <c r="E493" s="23">
        <v>4629</v>
      </c>
      <c r="F493" s="23">
        <v>300</v>
      </c>
      <c r="G493" s="23">
        <v>875</v>
      </c>
      <c r="H493" s="23">
        <v>0</v>
      </c>
      <c r="I493" s="23">
        <v>3549</v>
      </c>
      <c r="J493" s="23">
        <v>333</v>
      </c>
      <c r="K493" s="23">
        <v>22</v>
      </c>
      <c r="L493" s="32" t="s">
        <v>614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5283</v>
      </c>
      <c r="E494" s="23">
        <v>4629</v>
      </c>
      <c r="F494" s="23">
        <v>300</v>
      </c>
      <c r="G494" s="23">
        <v>955</v>
      </c>
      <c r="H494" s="23">
        <v>0</v>
      </c>
      <c r="I494" s="23">
        <v>3622</v>
      </c>
      <c r="J494" s="23">
        <v>340</v>
      </c>
      <c r="K494" s="23">
        <v>22</v>
      </c>
      <c r="L494" s="32" t="s">
        <v>615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5505</v>
      </c>
      <c r="E495" s="23">
        <v>4629</v>
      </c>
      <c r="F495" s="23">
        <v>300</v>
      </c>
      <c r="G495" s="23">
        <v>1177</v>
      </c>
      <c r="H495" s="23">
        <v>0</v>
      </c>
      <c r="I495" s="23">
        <v>3818</v>
      </c>
      <c r="J495" s="23">
        <v>361</v>
      </c>
      <c r="K495" s="23">
        <v>24</v>
      </c>
      <c r="L495" s="32" t="s">
        <v>616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3889</v>
      </c>
      <c r="J496" s="23">
        <v>367</v>
      </c>
      <c r="K496" s="23">
        <v>25</v>
      </c>
      <c r="L496" s="32" t="s">
        <v>617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4057</v>
      </c>
      <c r="J497" s="23">
        <v>376</v>
      </c>
      <c r="K497" s="23">
        <v>26</v>
      </c>
      <c r="L497" s="32" t="s">
        <v>618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5767</v>
      </c>
      <c r="E498" s="23">
        <v>4629</v>
      </c>
      <c r="F498" s="23">
        <v>300</v>
      </c>
      <c r="G498" s="23">
        <v>1439</v>
      </c>
      <c r="H498" s="23">
        <v>0</v>
      </c>
      <c r="I498" s="23">
        <v>4066</v>
      </c>
      <c r="J498" s="23">
        <v>373</v>
      </c>
      <c r="K498" s="23">
        <v>26</v>
      </c>
      <c r="L498" s="32" t="s">
        <v>619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5680</v>
      </c>
      <c r="E499" s="23">
        <v>4629</v>
      </c>
      <c r="F499" s="23">
        <v>300</v>
      </c>
      <c r="G499" s="23">
        <v>1352</v>
      </c>
      <c r="H499" s="23">
        <v>0</v>
      </c>
      <c r="I499" s="23">
        <v>3999</v>
      </c>
      <c r="J499" s="23">
        <v>356</v>
      </c>
      <c r="K499" s="23">
        <v>24</v>
      </c>
      <c r="L499" s="32" t="s">
        <v>620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4327</v>
      </c>
      <c r="J500" s="23">
        <v>380</v>
      </c>
      <c r="K500" s="23">
        <v>26</v>
      </c>
      <c r="L500" s="32" t="s">
        <v>621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6221</v>
      </c>
      <c r="E501" s="23">
        <v>4629</v>
      </c>
      <c r="F501" s="23">
        <v>300</v>
      </c>
      <c r="G501" s="23">
        <v>1893</v>
      </c>
      <c r="H501" s="23">
        <v>0</v>
      </c>
      <c r="I501" s="23">
        <v>4496</v>
      </c>
      <c r="J501" s="23">
        <v>397</v>
      </c>
      <c r="K501" s="23">
        <v>28</v>
      </c>
      <c r="L501" s="32" t="s">
        <v>622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4339</v>
      </c>
      <c r="J502" s="23">
        <v>363</v>
      </c>
      <c r="K502" s="23">
        <v>24</v>
      </c>
      <c r="L502" s="32" t="s">
        <v>623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4249</v>
      </c>
      <c r="J503" s="23">
        <v>357</v>
      </c>
      <c r="K503" s="23">
        <v>24</v>
      </c>
      <c r="L503" s="32" t="s">
        <v>624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5945</v>
      </c>
      <c r="E504" s="23">
        <v>4629</v>
      </c>
      <c r="F504" s="23">
        <v>300</v>
      </c>
      <c r="G504" s="23">
        <v>1617</v>
      </c>
      <c r="H504" s="23">
        <v>0</v>
      </c>
      <c r="I504" s="23">
        <v>4258</v>
      </c>
      <c r="J504" s="23">
        <v>363</v>
      </c>
      <c r="K504" s="23">
        <v>24</v>
      </c>
      <c r="L504" s="32" t="s">
        <v>625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4322</v>
      </c>
      <c r="J505" s="23">
        <v>367</v>
      </c>
      <c r="K505" s="23">
        <v>24</v>
      </c>
      <c r="L505" s="32" t="s">
        <v>626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5851</v>
      </c>
      <c r="E506" s="23">
        <v>4629</v>
      </c>
      <c r="F506" s="23">
        <v>300</v>
      </c>
      <c r="G506" s="23">
        <v>1523</v>
      </c>
      <c r="H506" s="23">
        <v>0</v>
      </c>
      <c r="I506" s="23">
        <v>4379</v>
      </c>
      <c r="J506" s="23">
        <v>347</v>
      </c>
      <c r="K506" s="23">
        <v>23</v>
      </c>
      <c r="L506" s="32" t="s">
        <v>627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5605</v>
      </c>
      <c r="E507" s="23">
        <v>4629</v>
      </c>
      <c r="F507" s="23">
        <v>300</v>
      </c>
      <c r="G507" s="23">
        <v>1277</v>
      </c>
      <c r="H507" s="23">
        <v>0</v>
      </c>
      <c r="I507" s="23">
        <v>4153</v>
      </c>
      <c r="J507" s="23">
        <v>328</v>
      </c>
      <c r="K507" s="23">
        <v>22</v>
      </c>
      <c r="L507" s="32" t="s">
        <v>628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5881</v>
      </c>
      <c r="E508" s="23">
        <v>4629</v>
      </c>
      <c r="F508" s="23">
        <v>300</v>
      </c>
      <c r="G508" s="23">
        <v>1553</v>
      </c>
      <c r="H508" s="23">
        <v>0</v>
      </c>
      <c r="I508" s="23">
        <v>4408</v>
      </c>
      <c r="J508" s="23">
        <v>348</v>
      </c>
      <c r="K508" s="23">
        <v>23</v>
      </c>
      <c r="L508" s="32" t="s">
        <v>629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4274</v>
      </c>
      <c r="J509" s="23">
        <v>338</v>
      </c>
      <c r="K509" s="23">
        <v>22</v>
      </c>
      <c r="L509" s="32" t="s">
        <v>630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4806</v>
      </c>
      <c r="J510" s="23">
        <v>370</v>
      </c>
      <c r="K510" s="23">
        <v>25</v>
      </c>
      <c r="L510" s="32" t="s">
        <v>631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6259</v>
      </c>
      <c r="E511" s="23">
        <v>4629</v>
      </c>
      <c r="F511" s="23">
        <v>300</v>
      </c>
      <c r="G511" s="23">
        <v>1931</v>
      </c>
      <c r="H511" s="23">
        <v>0</v>
      </c>
      <c r="I511" s="23">
        <v>4767</v>
      </c>
      <c r="J511" s="23">
        <v>368</v>
      </c>
      <c r="K511" s="23">
        <v>24</v>
      </c>
      <c r="L511" s="32" t="s">
        <v>632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6253</v>
      </c>
      <c r="E512" s="23">
        <v>4629</v>
      </c>
      <c r="F512" s="23">
        <v>300</v>
      </c>
      <c r="G512" s="23">
        <v>1925</v>
      </c>
      <c r="H512" s="23">
        <v>0</v>
      </c>
      <c r="I512" s="23">
        <v>4769</v>
      </c>
      <c r="J512" s="23">
        <v>361</v>
      </c>
      <c r="K512" s="23">
        <v>24</v>
      </c>
      <c r="L512" s="32" t="s">
        <v>633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4381</v>
      </c>
      <c r="J513" s="23">
        <v>328</v>
      </c>
      <c r="K513" s="23">
        <v>21</v>
      </c>
      <c r="L513" s="32" t="s">
        <v>634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4584</v>
      </c>
      <c r="J514" s="23">
        <v>345</v>
      </c>
      <c r="K514" s="23">
        <v>22</v>
      </c>
      <c r="L514" s="32" t="s">
        <v>635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4542</v>
      </c>
      <c r="J515" s="23">
        <v>340</v>
      </c>
      <c r="K515" s="23">
        <v>22</v>
      </c>
      <c r="L515" s="32" t="s">
        <v>636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4611</v>
      </c>
      <c r="J516" s="23">
        <v>348</v>
      </c>
      <c r="K516" s="23">
        <v>23</v>
      </c>
      <c r="L516" s="32" t="s">
        <v>637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4451</v>
      </c>
      <c r="J517" s="23">
        <v>331</v>
      </c>
      <c r="K517" s="23">
        <v>21</v>
      </c>
      <c r="L517" s="32" t="s">
        <v>638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5903</v>
      </c>
      <c r="E518" s="23">
        <v>4629</v>
      </c>
      <c r="F518" s="23">
        <v>300</v>
      </c>
      <c r="G518" s="23">
        <v>1575</v>
      </c>
      <c r="H518" s="23">
        <v>0</v>
      </c>
      <c r="I518" s="23">
        <v>4450</v>
      </c>
      <c r="J518" s="23">
        <v>331</v>
      </c>
      <c r="K518" s="23">
        <v>21</v>
      </c>
      <c r="L518" s="32" t="s">
        <v>639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5890</v>
      </c>
      <c r="E519" s="23">
        <v>4629</v>
      </c>
      <c r="F519" s="23">
        <v>300</v>
      </c>
      <c r="G519" s="23">
        <v>1562</v>
      </c>
      <c r="H519" s="23">
        <v>0</v>
      </c>
      <c r="I519" s="23">
        <v>4444</v>
      </c>
      <c r="J519" s="23">
        <v>325</v>
      </c>
      <c r="K519" s="23">
        <v>21</v>
      </c>
      <c r="L519" s="32" t="s">
        <v>640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4369</v>
      </c>
      <c r="J520" s="23">
        <v>317</v>
      </c>
      <c r="K520" s="23">
        <v>20</v>
      </c>
      <c r="L520" s="32" t="s">
        <v>641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4448</v>
      </c>
      <c r="J521" s="23">
        <v>330</v>
      </c>
      <c r="K521" s="23">
        <v>21</v>
      </c>
      <c r="L521" s="32" t="s">
        <v>642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4532</v>
      </c>
      <c r="J522" s="23">
        <v>331</v>
      </c>
      <c r="K522" s="23">
        <v>21</v>
      </c>
      <c r="L522" s="32" t="s">
        <v>643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5824</v>
      </c>
      <c r="E523" s="23">
        <v>4629</v>
      </c>
      <c r="F523" s="23">
        <v>300</v>
      </c>
      <c r="G523" s="23">
        <v>1496</v>
      </c>
      <c r="H523" s="23">
        <v>0</v>
      </c>
      <c r="I523" s="23">
        <v>4383</v>
      </c>
      <c r="J523" s="23">
        <v>319</v>
      </c>
      <c r="K523" s="23">
        <v>21</v>
      </c>
      <c r="L523" s="32" t="s">
        <v>644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5858</v>
      </c>
      <c r="E524" s="23">
        <v>4629</v>
      </c>
      <c r="F524" s="23">
        <v>300</v>
      </c>
      <c r="G524" s="23">
        <v>1530</v>
      </c>
      <c r="H524" s="23">
        <v>0</v>
      </c>
      <c r="I524" s="23">
        <v>4408</v>
      </c>
      <c r="J524" s="23">
        <v>329</v>
      </c>
      <c r="K524" s="23">
        <v>22</v>
      </c>
      <c r="L524" s="32" t="s">
        <v>645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4374</v>
      </c>
      <c r="J525" s="23">
        <v>331</v>
      </c>
      <c r="K525" s="23">
        <v>21</v>
      </c>
      <c r="L525" s="32" t="s">
        <v>646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5901</v>
      </c>
      <c r="E526" s="23">
        <v>4629</v>
      </c>
      <c r="F526" s="23">
        <v>300</v>
      </c>
      <c r="G526" s="23">
        <v>1573</v>
      </c>
      <c r="H526" s="23">
        <v>0</v>
      </c>
      <c r="I526" s="23">
        <v>4438</v>
      </c>
      <c r="J526" s="23">
        <v>339</v>
      </c>
      <c r="K526" s="23">
        <v>22</v>
      </c>
      <c r="L526" s="32" t="s">
        <v>647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4487</v>
      </c>
      <c r="J527" s="23">
        <v>397</v>
      </c>
      <c r="K527" s="23">
        <v>23</v>
      </c>
      <c r="L527" s="32" t="s">
        <v>648</v>
      </c>
    </row>
    <row r="528" spans="1:12" x14ac:dyDescent="0.2">
      <c r="A528" s="69">
        <v>45909</v>
      </c>
      <c r="B528" s="23">
        <v>902</v>
      </c>
      <c r="C528" s="23">
        <v>5173</v>
      </c>
      <c r="D528" s="23">
        <v>6074</v>
      </c>
      <c r="E528" s="23">
        <v>4629</v>
      </c>
      <c r="F528" s="23">
        <v>300</v>
      </c>
      <c r="G528" s="23">
        <v>1746</v>
      </c>
      <c r="H528" s="23">
        <v>0</v>
      </c>
      <c r="I528" s="23">
        <v>4606</v>
      </c>
      <c r="J528" s="23">
        <v>542</v>
      </c>
      <c r="K528" s="23">
        <v>23</v>
      </c>
      <c r="L528" s="32" t="s">
        <v>722</v>
      </c>
    </row>
    <row r="529" spans="1:12" x14ac:dyDescent="0.2">
      <c r="A529" s="69">
        <v>45910</v>
      </c>
      <c r="B529" s="23">
        <v>902</v>
      </c>
      <c r="C529" s="23">
        <v>5263</v>
      </c>
      <c r="D529" s="23">
        <v>6165</v>
      </c>
      <c r="E529" s="23">
        <v>4629</v>
      </c>
      <c r="F529" s="23">
        <v>300</v>
      </c>
      <c r="G529" s="23">
        <v>1836</v>
      </c>
      <c r="H529" s="23">
        <v>0</v>
      </c>
      <c r="I529" s="23">
        <v>4683</v>
      </c>
      <c r="J529" s="23">
        <v>556</v>
      </c>
      <c r="K529" s="23">
        <v>24</v>
      </c>
      <c r="L529" s="32" t="s">
        <v>723</v>
      </c>
    </row>
    <row r="530" spans="1:12" x14ac:dyDescent="0.2">
      <c r="A530" s="69">
        <v>45911</v>
      </c>
      <c r="B530" s="23">
        <v>902</v>
      </c>
      <c r="C530" s="23">
        <v>5365</v>
      </c>
      <c r="D530" s="23">
        <v>6266</v>
      </c>
      <c r="E530" s="23">
        <v>4629</v>
      </c>
      <c r="F530" s="23">
        <v>300</v>
      </c>
      <c r="G530" s="23">
        <v>1938</v>
      </c>
      <c r="H530" s="23">
        <v>0</v>
      </c>
      <c r="I530" s="23">
        <v>4782</v>
      </c>
      <c r="J530" s="23">
        <v>557</v>
      </c>
      <c r="K530" s="23">
        <v>24</v>
      </c>
      <c r="L530" s="32" t="s">
        <v>724</v>
      </c>
    </row>
    <row r="531" spans="1:12" x14ac:dyDescent="0.2">
      <c r="A531" s="69">
        <v>45912</v>
      </c>
      <c r="B531" s="23">
        <v>902</v>
      </c>
      <c r="C531" s="23">
        <v>5608</v>
      </c>
      <c r="D531" s="23">
        <v>6509</v>
      </c>
      <c r="E531" s="23">
        <v>4629</v>
      </c>
      <c r="F531" s="23">
        <v>300</v>
      </c>
      <c r="G531" s="23">
        <v>2181</v>
      </c>
      <c r="H531" s="23">
        <v>0</v>
      </c>
      <c r="I531" s="23">
        <v>5012</v>
      </c>
      <c r="J531" s="23">
        <v>570</v>
      </c>
      <c r="K531" s="23">
        <v>25</v>
      </c>
      <c r="L531" s="32" t="s">
        <v>725</v>
      </c>
    </row>
    <row r="532" spans="1:12" x14ac:dyDescent="0.2">
      <c r="A532" s="69">
        <v>45913</v>
      </c>
      <c r="B532" s="23">
        <v>902</v>
      </c>
      <c r="C532" s="23">
        <v>5624</v>
      </c>
      <c r="D532" s="23">
        <v>6525</v>
      </c>
      <c r="E532" s="23">
        <v>4667</v>
      </c>
      <c r="F532" s="23">
        <v>300</v>
      </c>
      <c r="G532" s="23">
        <v>2159</v>
      </c>
      <c r="H532" s="23">
        <v>0</v>
      </c>
      <c r="I532" s="23">
        <v>4996</v>
      </c>
      <c r="J532" s="23">
        <v>602</v>
      </c>
      <c r="K532" s="23">
        <v>25</v>
      </c>
      <c r="L532" s="32" t="s">
        <v>726</v>
      </c>
    </row>
    <row r="533" spans="1:12" x14ac:dyDescent="0.2">
      <c r="A533" s="69">
        <v>45914</v>
      </c>
      <c r="B533" s="23">
        <v>902</v>
      </c>
      <c r="C533" s="23">
        <v>5524</v>
      </c>
      <c r="D533" s="23">
        <v>6426</v>
      </c>
      <c r="E533" s="23">
        <v>4667</v>
      </c>
      <c r="F533" s="23">
        <v>300</v>
      </c>
      <c r="G533" s="23">
        <v>2059</v>
      </c>
      <c r="H533" s="23">
        <v>0</v>
      </c>
      <c r="I533" s="23">
        <v>4920</v>
      </c>
      <c r="J533" s="23">
        <v>580</v>
      </c>
      <c r="K533" s="23">
        <v>24</v>
      </c>
      <c r="L533" s="32" t="s">
        <v>720</v>
      </c>
    </row>
    <row r="534" spans="1:12" x14ac:dyDescent="0.2">
      <c r="A534" s="69">
        <v>45915</v>
      </c>
      <c r="B534" s="23">
        <v>902</v>
      </c>
      <c r="C534" s="23">
        <v>5420</v>
      </c>
      <c r="D534" s="23">
        <v>6321</v>
      </c>
      <c r="E534" s="23">
        <v>4667</v>
      </c>
      <c r="F534" s="23">
        <v>300</v>
      </c>
      <c r="G534" s="23">
        <v>1955</v>
      </c>
      <c r="H534" s="23">
        <v>0</v>
      </c>
      <c r="I534" s="23">
        <v>4829</v>
      </c>
      <c r="J534" s="23">
        <v>566</v>
      </c>
      <c r="K534" s="23">
        <v>23</v>
      </c>
      <c r="L534" s="32" t="s">
        <v>727</v>
      </c>
    </row>
    <row r="535" spans="1:12" x14ac:dyDescent="0.2">
      <c r="A535" s="69">
        <v>45916</v>
      </c>
      <c r="B535" s="23">
        <v>902</v>
      </c>
      <c r="C535" s="23">
        <v>5458</v>
      </c>
      <c r="D535" s="23">
        <v>6360</v>
      </c>
      <c r="E535" s="23">
        <v>4667</v>
      </c>
      <c r="F535" s="23">
        <v>300</v>
      </c>
      <c r="G535" s="23">
        <v>1994</v>
      </c>
      <c r="H535" s="23">
        <v>0</v>
      </c>
      <c r="I535" s="23">
        <v>4858</v>
      </c>
      <c r="J535" s="23">
        <v>579</v>
      </c>
      <c r="K535" s="23">
        <v>23</v>
      </c>
      <c r="L535" s="32" t="s">
        <v>728</v>
      </c>
    </row>
    <row r="536" spans="1:12" x14ac:dyDescent="0.2">
      <c r="A536" s="69">
        <v>45917</v>
      </c>
      <c r="B536" s="23">
        <v>902</v>
      </c>
      <c r="C536" s="23">
        <v>5607</v>
      </c>
      <c r="D536" s="23">
        <v>6508</v>
      </c>
      <c r="E536" s="23">
        <v>4667</v>
      </c>
      <c r="F536" s="23">
        <v>300</v>
      </c>
      <c r="G536" s="23">
        <v>2142</v>
      </c>
      <c r="H536" s="23">
        <v>0</v>
      </c>
      <c r="I536" s="23">
        <v>4991</v>
      </c>
      <c r="J536" s="23">
        <v>593</v>
      </c>
      <c r="K536" s="23">
        <v>24</v>
      </c>
      <c r="L536" s="32" t="s">
        <v>729</v>
      </c>
    </row>
    <row r="537" spans="1:12" x14ac:dyDescent="0.2">
      <c r="A537" s="69">
        <v>45918</v>
      </c>
      <c r="B537" s="23">
        <v>602</v>
      </c>
      <c r="C537" s="23">
        <v>5933</v>
      </c>
      <c r="D537" s="23">
        <v>6535</v>
      </c>
      <c r="E537" s="23">
        <v>4667</v>
      </c>
      <c r="F537" s="23">
        <v>300</v>
      </c>
      <c r="G537" s="23">
        <v>2169</v>
      </c>
      <c r="H537" s="23">
        <v>0</v>
      </c>
      <c r="I537" s="23">
        <v>5104</v>
      </c>
      <c r="J537" s="23">
        <v>805</v>
      </c>
      <c r="K537" s="23">
        <v>24</v>
      </c>
      <c r="L537" s="32" t="s">
        <v>721</v>
      </c>
    </row>
    <row r="538" spans="1:12" x14ac:dyDescent="0.2">
      <c r="A538" s="69">
        <v>45919</v>
      </c>
      <c r="B538" s="23">
        <v>787</v>
      </c>
      <c r="C538" s="23">
        <v>5561</v>
      </c>
      <c r="D538" s="23">
        <v>6347</v>
      </c>
      <c r="E538" s="23">
        <v>4667</v>
      </c>
      <c r="F538" s="23">
        <v>300</v>
      </c>
      <c r="G538" s="23">
        <v>1981</v>
      </c>
      <c r="H538" s="23">
        <v>0</v>
      </c>
      <c r="I538" s="23">
        <v>4966</v>
      </c>
      <c r="J538" s="23">
        <v>572</v>
      </c>
      <c r="K538" s="23">
        <v>22</v>
      </c>
      <c r="L538" s="32" t="s">
        <v>717</v>
      </c>
    </row>
    <row r="539" spans="1:12" x14ac:dyDescent="0.2">
      <c r="A539" s="69">
        <v>45920</v>
      </c>
      <c r="B539" s="23">
        <v>787</v>
      </c>
      <c r="C539" s="23">
        <v>5606</v>
      </c>
      <c r="D539" s="23">
        <v>6392</v>
      </c>
      <c r="E539" s="23">
        <v>4667</v>
      </c>
      <c r="F539" s="23">
        <v>300</v>
      </c>
      <c r="G539" s="23">
        <v>2026</v>
      </c>
      <c r="H539" s="23">
        <v>0</v>
      </c>
      <c r="I539" s="23">
        <v>5010</v>
      </c>
      <c r="J539" s="23">
        <v>574</v>
      </c>
      <c r="K539" s="23">
        <v>22</v>
      </c>
      <c r="L539" s="32" t="s">
        <v>719</v>
      </c>
    </row>
    <row r="540" spans="1:12" x14ac:dyDescent="0.2">
      <c r="A540" s="69">
        <v>45921</v>
      </c>
      <c r="B540" s="23">
        <v>787</v>
      </c>
      <c r="C540" s="23">
        <v>5540</v>
      </c>
      <c r="D540" s="23">
        <v>6327</v>
      </c>
      <c r="E540" s="23">
        <v>4667</v>
      </c>
      <c r="F540" s="23">
        <v>300</v>
      </c>
      <c r="G540" s="23">
        <v>1960</v>
      </c>
      <c r="H540" s="23">
        <v>0</v>
      </c>
      <c r="I540" s="23">
        <v>4963</v>
      </c>
      <c r="J540" s="23">
        <v>555</v>
      </c>
      <c r="K540" s="23">
        <v>22</v>
      </c>
      <c r="L540" s="32" t="s">
        <v>730</v>
      </c>
    </row>
    <row r="541" spans="1:12" x14ac:dyDescent="0.2">
      <c r="A541" s="69">
        <v>45922</v>
      </c>
      <c r="B541" s="23">
        <v>787</v>
      </c>
      <c r="C541" s="23">
        <v>5235</v>
      </c>
      <c r="D541" s="23">
        <v>6021</v>
      </c>
      <c r="E541" s="23">
        <v>4667</v>
      </c>
      <c r="F541" s="23">
        <v>300</v>
      </c>
      <c r="G541" s="23">
        <v>1655</v>
      </c>
      <c r="H541" s="23">
        <v>0</v>
      </c>
      <c r="I541" s="23">
        <v>4672</v>
      </c>
      <c r="J541" s="23">
        <v>542</v>
      </c>
      <c r="K541" s="23">
        <v>20</v>
      </c>
      <c r="L541" s="57" t="s">
        <v>731</v>
      </c>
    </row>
    <row r="542" spans="1:12" x14ac:dyDescent="0.2">
      <c r="A542" s="69">
        <v>45923</v>
      </c>
      <c r="B542" s="23">
        <v>787</v>
      </c>
      <c r="C542" s="23">
        <v>5170</v>
      </c>
      <c r="D542" s="23">
        <v>5957</v>
      </c>
      <c r="E542" s="23">
        <v>4667</v>
      </c>
      <c r="F542" s="23">
        <v>300</v>
      </c>
      <c r="G542" s="23">
        <v>1590</v>
      </c>
      <c r="H542" s="23">
        <v>0</v>
      </c>
      <c r="I542" s="23">
        <v>4619</v>
      </c>
      <c r="J542" s="23">
        <v>532</v>
      </c>
      <c r="K542" s="23">
        <v>19</v>
      </c>
      <c r="L542" s="32" t="s">
        <v>732</v>
      </c>
    </row>
    <row r="543" spans="1:12" x14ac:dyDescent="0.2">
      <c r="A543" s="69">
        <v>45924</v>
      </c>
      <c r="B543" s="23">
        <v>787</v>
      </c>
      <c r="C543" s="23">
        <v>5167</v>
      </c>
      <c r="D543" s="23">
        <v>5953</v>
      </c>
      <c r="E543" s="23">
        <v>4667</v>
      </c>
      <c r="F543" s="23">
        <v>300</v>
      </c>
      <c r="G543" s="23">
        <v>1587</v>
      </c>
      <c r="H543" s="23">
        <v>0</v>
      </c>
      <c r="I543" s="23">
        <v>4611</v>
      </c>
      <c r="J543" s="23">
        <v>535</v>
      </c>
      <c r="K543" s="23">
        <v>20</v>
      </c>
      <c r="L543" s="32" t="s">
        <v>718</v>
      </c>
    </row>
    <row r="544" spans="1:12" x14ac:dyDescent="0.2">
      <c r="A544" s="69">
        <v>45925</v>
      </c>
      <c r="B544" s="23">
        <v>787</v>
      </c>
      <c r="C544" s="23">
        <v>4795</v>
      </c>
      <c r="D544" s="23">
        <v>5581</v>
      </c>
      <c r="E544" s="23">
        <v>4667</v>
      </c>
      <c r="F544" s="23">
        <v>300</v>
      </c>
      <c r="G544" s="23">
        <v>1215</v>
      </c>
      <c r="H544" s="23">
        <v>0</v>
      </c>
      <c r="I544" s="23">
        <v>4274</v>
      </c>
      <c r="J544" s="23">
        <v>499</v>
      </c>
      <c r="K544" s="23">
        <v>18</v>
      </c>
      <c r="L544" s="32" t="s">
        <v>735</v>
      </c>
    </row>
    <row r="545" spans="1:12" x14ac:dyDescent="0.2">
      <c r="A545" s="69">
        <v>45926</v>
      </c>
      <c r="B545" s="23">
        <v>787</v>
      </c>
      <c r="C545" s="23">
        <v>5003</v>
      </c>
      <c r="D545" s="23">
        <v>5789</v>
      </c>
      <c r="E545" s="23">
        <v>4667</v>
      </c>
      <c r="F545" s="23">
        <v>300</v>
      </c>
      <c r="G545" s="23">
        <v>1423</v>
      </c>
      <c r="H545" s="23">
        <v>0</v>
      </c>
      <c r="I545" s="23">
        <v>4461</v>
      </c>
      <c r="J545" s="23">
        <v>522</v>
      </c>
      <c r="K545" s="23">
        <v>19</v>
      </c>
      <c r="L545" s="32" t="s">
        <v>716</v>
      </c>
    </row>
    <row r="546" spans="1:12" x14ac:dyDescent="0.2">
      <c r="A546" s="69">
        <v>45927</v>
      </c>
      <c r="B546" s="23">
        <v>787</v>
      </c>
      <c r="C546" s="23">
        <v>4980</v>
      </c>
      <c r="D546" s="23">
        <v>5766</v>
      </c>
      <c r="E546" s="23">
        <v>4667</v>
      </c>
      <c r="F546" s="23">
        <v>300</v>
      </c>
      <c r="G546" s="23">
        <v>1400</v>
      </c>
      <c r="H546" s="23">
        <v>0</v>
      </c>
      <c r="I546" s="23">
        <v>4446</v>
      </c>
      <c r="J546" s="23">
        <v>516</v>
      </c>
      <c r="K546" s="23">
        <v>19</v>
      </c>
      <c r="L546" s="32" t="s">
        <v>733</v>
      </c>
    </row>
    <row r="547" spans="1:12" x14ac:dyDescent="0.2">
      <c r="A547" s="69">
        <v>45928</v>
      </c>
      <c r="B547" s="23">
        <v>-12</v>
      </c>
      <c r="C547" s="23">
        <v>5967</v>
      </c>
      <c r="D547" s="23">
        <v>5954</v>
      </c>
      <c r="E547" s="23">
        <v>4667</v>
      </c>
      <c r="F547" s="23">
        <v>300</v>
      </c>
      <c r="G547" s="23">
        <v>1588</v>
      </c>
      <c r="H547" s="23">
        <v>0</v>
      </c>
      <c r="I547" s="23">
        <v>5416</v>
      </c>
      <c r="J547" s="23">
        <v>534</v>
      </c>
      <c r="K547" s="23">
        <v>19</v>
      </c>
      <c r="L547" s="32" t="s">
        <v>748</v>
      </c>
    </row>
    <row r="548" spans="1:12" x14ac:dyDescent="0.2">
      <c r="A548" s="69">
        <v>45929</v>
      </c>
      <c r="B548" s="23">
        <v>588</v>
      </c>
      <c r="C548" s="23">
        <v>6054</v>
      </c>
      <c r="D548" s="23">
        <v>6641</v>
      </c>
      <c r="E548" s="23">
        <v>5267</v>
      </c>
      <c r="F548" s="23">
        <v>300</v>
      </c>
      <c r="G548" s="23">
        <v>1674</v>
      </c>
      <c r="H548" s="23">
        <v>0</v>
      </c>
      <c r="I548" s="23">
        <v>5500</v>
      </c>
      <c r="J548" s="23">
        <v>535</v>
      </c>
      <c r="K548" s="23">
        <v>18</v>
      </c>
      <c r="L548" s="32" t="s">
        <v>749</v>
      </c>
    </row>
    <row r="549" spans="1:12" x14ac:dyDescent="0.2">
      <c r="A549" s="69">
        <v>45930</v>
      </c>
      <c r="B549" s="23">
        <v>588</v>
      </c>
      <c r="C549" s="23">
        <v>5944</v>
      </c>
      <c r="D549" s="23">
        <v>6531</v>
      </c>
      <c r="E549" s="23">
        <v>5267</v>
      </c>
      <c r="F549" s="23">
        <v>300</v>
      </c>
      <c r="G549" s="23">
        <v>1564</v>
      </c>
      <c r="H549" s="23">
        <v>0</v>
      </c>
      <c r="I549" s="23">
        <v>5409</v>
      </c>
      <c r="J549" s="23">
        <v>517</v>
      </c>
      <c r="K549" s="23">
        <v>18</v>
      </c>
      <c r="L549" s="32" t="s">
        <v>750</v>
      </c>
    </row>
    <row r="550" spans="1:12" x14ac:dyDescent="0.2">
      <c r="A550" s="69">
        <v>45931</v>
      </c>
      <c r="B550" s="23">
        <v>588</v>
      </c>
      <c r="C550" s="23">
        <v>6247</v>
      </c>
      <c r="D550" s="23">
        <v>6834</v>
      </c>
      <c r="E550" s="23">
        <v>5267</v>
      </c>
      <c r="F550" s="23">
        <v>300</v>
      </c>
      <c r="G550" s="23">
        <v>1868</v>
      </c>
      <c r="H550" s="23">
        <v>0</v>
      </c>
      <c r="I550" s="23">
        <v>5678</v>
      </c>
      <c r="J550" s="23">
        <v>548</v>
      </c>
      <c r="K550" s="23">
        <v>20</v>
      </c>
      <c r="L550" s="57" t="s">
        <v>751</v>
      </c>
    </row>
    <row r="551" spans="1:12" x14ac:dyDescent="0.2">
      <c r="A551" s="69">
        <v>45932</v>
      </c>
      <c r="B551" s="23">
        <v>588</v>
      </c>
      <c r="C551" s="23">
        <v>6495</v>
      </c>
      <c r="D551" s="23">
        <v>7082</v>
      </c>
      <c r="E551" s="23">
        <v>5267</v>
      </c>
      <c r="F551" s="23">
        <v>300</v>
      </c>
      <c r="G551" s="23">
        <v>2116</v>
      </c>
      <c r="H551" s="23">
        <v>0</v>
      </c>
      <c r="I551" s="23">
        <v>5907</v>
      </c>
      <c r="J551" s="23">
        <v>568</v>
      </c>
      <c r="K551" s="23">
        <v>20</v>
      </c>
      <c r="L551" s="32" t="s">
        <v>752</v>
      </c>
    </row>
    <row r="552" spans="1:12" x14ac:dyDescent="0.2">
      <c r="A552" s="69">
        <v>45933</v>
      </c>
      <c r="B552" s="23">
        <v>588</v>
      </c>
      <c r="C552" s="23">
        <v>6551</v>
      </c>
      <c r="D552" s="23">
        <v>7138</v>
      </c>
      <c r="E552" s="23">
        <v>5267</v>
      </c>
      <c r="F552" s="23">
        <v>300</v>
      </c>
      <c r="G552" s="23">
        <v>2172</v>
      </c>
      <c r="H552" s="23">
        <v>0</v>
      </c>
      <c r="I552" s="23">
        <v>5969</v>
      </c>
      <c r="J552" s="23">
        <v>562</v>
      </c>
      <c r="K552" s="23">
        <v>20</v>
      </c>
      <c r="L552" s="32" t="s">
        <v>753</v>
      </c>
    </row>
    <row r="553" spans="1:12" x14ac:dyDescent="0.2">
      <c r="A553" s="69">
        <v>45934</v>
      </c>
      <c r="B553" s="23">
        <v>588</v>
      </c>
      <c r="C553" s="23">
        <v>6456</v>
      </c>
      <c r="D553" s="23">
        <v>7043</v>
      </c>
      <c r="E553" s="23">
        <v>5267</v>
      </c>
      <c r="F553" s="23">
        <v>300</v>
      </c>
      <c r="G553" s="23">
        <v>2077</v>
      </c>
      <c r="H553" s="23">
        <v>0</v>
      </c>
      <c r="I553" s="23">
        <v>5887</v>
      </c>
      <c r="J553" s="23">
        <v>549</v>
      </c>
      <c r="K553" s="23">
        <v>19</v>
      </c>
      <c r="L553" s="32" t="s">
        <v>754</v>
      </c>
    </row>
    <row r="554" spans="1:12" x14ac:dyDescent="0.2">
      <c r="A554" s="69">
        <v>45935</v>
      </c>
      <c r="B554" s="23">
        <v>588</v>
      </c>
      <c r="C554" s="23">
        <v>6497</v>
      </c>
      <c r="D554" s="23">
        <v>7084</v>
      </c>
      <c r="E554" s="23">
        <v>5267</v>
      </c>
      <c r="F554" s="23">
        <v>300</v>
      </c>
      <c r="G554" s="23">
        <v>2118</v>
      </c>
      <c r="H554" s="23">
        <v>0</v>
      </c>
      <c r="I554" s="23">
        <v>5916</v>
      </c>
      <c r="J554" s="23">
        <v>560</v>
      </c>
      <c r="K554" s="23">
        <v>20</v>
      </c>
      <c r="L554" s="32" t="s">
        <v>755</v>
      </c>
    </row>
    <row r="555" spans="1:12" x14ac:dyDescent="0.2">
      <c r="A555" s="69">
        <v>45936</v>
      </c>
      <c r="B555" s="23">
        <v>-12</v>
      </c>
      <c r="C555" s="23">
        <v>7339</v>
      </c>
      <c r="D555" s="23">
        <v>7326</v>
      </c>
      <c r="E555" s="23">
        <v>5267</v>
      </c>
      <c r="F555" s="23">
        <v>300</v>
      </c>
      <c r="G555" s="23">
        <v>2360</v>
      </c>
      <c r="H555" s="23">
        <v>0</v>
      </c>
      <c r="I555" s="23">
        <v>6506</v>
      </c>
      <c r="J555" s="23">
        <v>813</v>
      </c>
      <c r="K555" s="23">
        <v>20</v>
      </c>
      <c r="L555" s="32" t="s">
        <v>756</v>
      </c>
    </row>
    <row r="556" spans="1:12" x14ac:dyDescent="0.2">
      <c r="A556" s="69">
        <v>45937</v>
      </c>
      <c r="B556" s="23">
        <v>-12</v>
      </c>
      <c r="C556" s="23">
        <v>7043</v>
      </c>
      <c r="D556" s="23">
        <v>7030</v>
      </c>
      <c r="E556" s="23">
        <v>5267</v>
      </c>
      <c r="F556" s="23">
        <v>300</v>
      </c>
      <c r="G556" s="23">
        <v>2064</v>
      </c>
      <c r="H556" s="23">
        <v>0</v>
      </c>
      <c r="I556" s="23">
        <v>6255</v>
      </c>
      <c r="J556" s="23">
        <v>769</v>
      </c>
      <c r="K556" s="23">
        <v>19</v>
      </c>
      <c r="L556" s="32" t="s">
        <v>757</v>
      </c>
    </row>
    <row r="557" spans="1:12" x14ac:dyDescent="0.2">
      <c r="A557" s="69">
        <v>45938</v>
      </c>
      <c r="B557" s="23">
        <v>-12</v>
      </c>
      <c r="C557" s="23">
        <v>7219</v>
      </c>
      <c r="D557" s="23">
        <v>7206</v>
      </c>
      <c r="E557" s="23">
        <v>5267</v>
      </c>
      <c r="F557" s="23">
        <v>300</v>
      </c>
      <c r="G557" s="23">
        <v>2240</v>
      </c>
      <c r="H557" s="23">
        <v>0</v>
      </c>
      <c r="I557" s="23">
        <v>6398</v>
      </c>
      <c r="J557" s="23">
        <v>803</v>
      </c>
      <c r="K557" s="23">
        <v>20</v>
      </c>
      <c r="L557" s="32" t="s">
        <v>758</v>
      </c>
    </row>
    <row r="558" spans="1:12" x14ac:dyDescent="0.2">
      <c r="A558" s="69">
        <v>45939</v>
      </c>
      <c r="B558" s="23">
        <v>-12</v>
      </c>
      <c r="C558" s="23">
        <v>6922</v>
      </c>
      <c r="D558" s="23">
        <v>6909</v>
      </c>
      <c r="E558" s="23">
        <v>5267</v>
      </c>
      <c r="F558" s="23">
        <v>300</v>
      </c>
      <c r="G558" s="23">
        <v>1943</v>
      </c>
      <c r="H558" s="23">
        <v>0</v>
      </c>
      <c r="I558" s="23">
        <v>6171</v>
      </c>
      <c r="J558" s="23">
        <v>732</v>
      </c>
      <c r="K558" s="23">
        <v>19</v>
      </c>
      <c r="L558" s="32" t="s">
        <v>759</v>
      </c>
    </row>
    <row r="559" spans="1:12" x14ac:dyDescent="0.2">
      <c r="A559" s="69">
        <v>45940</v>
      </c>
      <c r="B559" s="23">
        <v>-262</v>
      </c>
      <c r="C559" s="23">
        <v>6123</v>
      </c>
      <c r="D559" s="23">
        <v>5860</v>
      </c>
      <c r="E559" s="23">
        <v>5267</v>
      </c>
      <c r="F559" s="23">
        <v>300</v>
      </c>
      <c r="G559" s="23">
        <v>894</v>
      </c>
      <c r="H559" s="23">
        <v>0</v>
      </c>
      <c r="I559" s="23">
        <v>5557</v>
      </c>
      <c r="J559" s="23">
        <v>554</v>
      </c>
      <c r="K559" s="23">
        <v>13</v>
      </c>
      <c r="L559" s="32" t="s">
        <v>760</v>
      </c>
    </row>
    <row r="560" spans="1:12" x14ac:dyDescent="0.2">
      <c r="A560" s="69">
        <v>45941</v>
      </c>
      <c r="B560" s="23">
        <v>-262</v>
      </c>
      <c r="C560" s="23">
        <v>5978</v>
      </c>
      <c r="D560" s="23">
        <v>5715</v>
      </c>
      <c r="E560" s="23">
        <v>5267</v>
      </c>
      <c r="F560" s="23">
        <v>300</v>
      </c>
      <c r="G560" s="23">
        <v>749</v>
      </c>
      <c r="H560" s="23">
        <v>0</v>
      </c>
      <c r="I560" s="23">
        <v>5423</v>
      </c>
      <c r="J560" s="23">
        <v>541</v>
      </c>
      <c r="K560" s="23">
        <v>13</v>
      </c>
      <c r="L560" s="32" t="s">
        <v>761</v>
      </c>
    </row>
    <row r="561" spans="1:12" x14ac:dyDescent="0.2">
      <c r="A561" s="69">
        <v>45942</v>
      </c>
      <c r="B561" s="23">
        <v>-262</v>
      </c>
      <c r="C561" s="23">
        <v>6703</v>
      </c>
      <c r="D561" s="23">
        <v>6440</v>
      </c>
      <c r="E561" s="23">
        <v>5267</v>
      </c>
      <c r="F561" s="23">
        <v>300</v>
      </c>
      <c r="G561" s="23">
        <v>1474</v>
      </c>
      <c r="H561" s="23">
        <v>0</v>
      </c>
      <c r="I561" s="23">
        <v>6035</v>
      </c>
      <c r="J561" s="23">
        <v>654</v>
      </c>
      <c r="K561" s="23">
        <v>15</v>
      </c>
      <c r="L561" s="32" t="s">
        <v>762</v>
      </c>
    </row>
    <row r="562" spans="1:12" x14ac:dyDescent="0.2">
      <c r="A562" s="69">
        <v>45943</v>
      </c>
      <c r="B562" s="23">
        <v>-262</v>
      </c>
      <c r="C562" s="23">
        <v>6880</v>
      </c>
      <c r="D562" s="23">
        <v>6617</v>
      </c>
      <c r="E562" s="23">
        <v>5267</v>
      </c>
      <c r="F562" s="23">
        <v>300</v>
      </c>
      <c r="G562" s="23">
        <v>1651</v>
      </c>
      <c r="H562" s="23">
        <v>0</v>
      </c>
      <c r="I562" s="23">
        <v>6214</v>
      </c>
      <c r="J562" s="23">
        <v>650</v>
      </c>
      <c r="K562" s="23">
        <v>16</v>
      </c>
      <c r="L562" s="32" t="s">
        <v>763</v>
      </c>
    </row>
    <row r="563" spans="1:12" x14ac:dyDescent="0.2">
      <c r="A563" s="69">
        <v>45944</v>
      </c>
      <c r="B563" s="23">
        <v>-261</v>
      </c>
      <c r="C563" s="23">
        <v>7207</v>
      </c>
      <c r="D563" s="23">
        <v>6946</v>
      </c>
      <c r="E563" s="23">
        <v>5818</v>
      </c>
      <c r="F563" s="23">
        <v>300</v>
      </c>
      <c r="G563" s="23">
        <v>1429</v>
      </c>
      <c r="H563" s="23">
        <v>0</v>
      </c>
      <c r="I563" s="23">
        <v>6564</v>
      </c>
      <c r="J563" s="23">
        <v>629</v>
      </c>
      <c r="K563" s="23">
        <v>15</v>
      </c>
      <c r="L563" s="32" t="s">
        <v>764</v>
      </c>
    </row>
    <row r="564" spans="1:12" x14ac:dyDescent="0.2">
      <c r="A564" s="69">
        <v>45945</v>
      </c>
      <c r="B564" s="23">
        <v>254</v>
      </c>
      <c r="C564" s="23">
        <v>6950</v>
      </c>
      <c r="D564" s="23">
        <v>7203</v>
      </c>
      <c r="E564" s="23">
        <v>6373</v>
      </c>
      <c r="F564" s="23">
        <v>300</v>
      </c>
      <c r="G564" s="23">
        <v>1131</v>
      </c>
      <c r="H564" s="23">
        <v>0</v>
      </c>
      <c r="I564" s="23">
        <v>6317</v>
      </c>
      <c r="J564" s="23">
        <v>617</v>
      </c>
      <c r="K564" s="23">
        <v>14</v>
      </c>
      <c r="L564" s="32" t="s">
        <v>765</v>
      </c>
    </row>
    <row r="565" spans="1:12" x14ac:dyDescent="0.2">
      <c r="A565" s="69">
        <v>45946</v>
      </c>
      <c r="B565" s="23">
        <v>254</v>
      </c>
      <c r="C565" s="23">
        <v>6740</v>
      </c>
      <c r="D565" s="23">
        <v>6994</v>
      </c>
      <c r="E565" s="23">
        <v>6373</v>
      </c>
      <c r="F565" s="23">
        <v>300</v>
      </c>
      <c r="G565" s="23">
        <v>922</v>
      </c>
      <c r="H565" s="23">
        <v>0</v>
      </c>
      <c r="I565" s="23">
        <v>6134</v>
      </c>
      <c r="J565" s="23">
        <v>592</v>
      </c>
      <c r="K565" s="23">
        <v>13</v>
      </c>
      <c r="L565" s="32" t="s">
        <v>766</v>
      </c>
    </row>
    <row r="566" spans="1:12" x14ac:dyDescent="0.2">
      <c r="A566" s="69">
        <v>45947</v>
      </c>
      <c r="B566" s="23">
        <v>363</v>
      </c>
      <c r="C566" s="23">
        <v>6462</v>
      </c>
      <c r="D566" s="23">
        <v>6824</v>
      </c>
      <c r="E566" s="23">
        <v>6373</v>
      </c>
      <c r="F566" s="23">
        <v>300</v>
      </c>
      <c r="G566" s="23">
        <v>752</v>
      </c>
      <c r="H566" s="23">
        <v>0</v>
      </c>
      <c r="I566" s="23">
        <v>5935</v>
      </c>
      <c r="J566" s="23">
        <v>527</v>
      </c>
      <c r="K566" s="23">
        <v>0</v>
      </c>
      <c r="L566" s="32" t="s">
        <v>768</v>
      </c>
    </row>
    <row r="567" spans="1:12" x14ac:dyDescent="0.2">
      <c r="A567" s="69">
        <v>45948</v>
      </c>
      <c r="B567" s="23">
        <v>363</v>
      </c>
      <c r="C567" s="23">
        <v>6590</v>
      </c>
      <c r="D567" s="23">
        <v>6952</v>
      </c>
      <c r="E567" s="23">
        <v>6373</v>
      </c>
      <c r="F567" s="23">
        <v>300</v>
      </c>
      <c r="G567" s="23">
        <v>880</v>
      </c>
      <c r="H567" s="23">
        <v>0</v>
      </c>
      <c r="I567" s="23">
        <v>6052</v>
      </c>
      <c r="J567" s="23">
        <v>537</v>
      </c>
      <c r="K567" s="23">
        <v>0</v>
      </c>
      <c r="L567" s="32" t="s">
        <v>769</v>
      </c>
    </row>
    <row r="568" spans="1:12" x14ac:dyDescent="0.2">
      <c r="A568" s="69">
        <v>45949</v>
      </c>
      <c r="B568" s="23">
        <v>363</v>
      </c>
      <c r="C568" s="23">
        <v>6644</v>
      </c>
      <c r="D568" s="23">
        <v>7006</v>
      </c>
      <c r="E568" s="23">
        <v>6373</v>
      </c>
      <c r="F568" s="23">
        <v>300</v>
      </c>
      <c r="G568" s="23">
        <v>934</v>
      </c>
      <c r="H568" s="23">
        <v>0</v>
      </c>
      <c r="I568" s="23">
        <v>6100</v>
      </c>
      <c r="J568" s="23">
        <v>544</v>
      </c>
      <c r="K568" s="23">
        <v>0</v>
      </c>
      <c r="L568" s="32" t="s">
        <v>771</v>
      </c>
    </row>
  </sheetData>
  <sortState xmlns:xlrd2="http://schemas.microsoft.com/office/spreadsheetml/2017/richdata2" ref="A2:L568">
    <sortCondition ref="A2:A56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H36"/>
  <sheetViews>
    <sheetView topLeftCell="A16" zoomScale="190" zoomScaleNormal="190" workbookViewId="0">
      <selection activeCell="D40" sqref="D40"/>
    </sheetView>
  </sheetViews>
  <sheetFormatPr defaultRowHeight="12.75" x14ac:dyDescent="0.2"/>
  <cols>
    <col min="1" max="16384" width="9.140625" style="93"/>
  </cols>
  <sheetData>
    <row r="1" spans="1:8" x14ac:dyDescent="0.2">
      <c r="A1" s="94" t="s">
        <v>48</v>
      </c>
      <c r="B1" s="94" t="s">
        <v>142</v>
      </c>
      <c r="C1" s="94" t="s">
        <v>141</v>
      </c>
      <c r="D1" s="94" t="s">
        <v>140</v>
      </c>
      <c r="H1" s="93" t="s">
        <v>677</v>
      </c>
    </row>
    <row r="2" spans="1:8" x14ac:dyDescent="0.2">
      <c r="A2" s="93" t="s">
        <v>48</v>
      </c>
      <c r="B2" s="93" t="s">
        <v>34</v>
      </c>
      <c r="C2" s="93" t="s">
        <v>42</v>
      </c>
      <c r="D2" s="93" t="s">
        <v>85</v>
      </c>
      <c r="G2" s="93" t="s">
        <v>142</v>
      </c>
      <c r="H2" s="93" t="s">
        <v>678</v>
      </c>
    </row>
    <row r="3" spans="1:8" x14ac:dyDescent="0.2">
      <c r="B3" s="93" t="s">
        <v>139</v>
      </c>
      <c r="C3" s="93" t="s">
        <v>684</v>
      </c>
      <c r="G3" s="93" t="s">
        <v>141</v>
      </c>
      <c r="H3" s="93" t="s">
        <v>679</v>
      </c>
    </row>
    <row r="4" spans="1:8" x14ac:dyDescent="0.2">
      <c r="B4" s="93" t="s">
        <v>78</v>
      </c>
      <c r="C4" s="93" t="s">
        <v>685</v>
      </c>
      <c r="G4" s="93" t="s">
        <v>140</v>
      </c>
      <c r="H4" s="93" t="s">
        <v>680</v>
      </c>
    </row>
    <row r="5" spans="1:8" x14ac:dyDescent="0.2">
      <c r="B5" s="93" t="s">
        <v>35</v>
      </c>
      <c r="C5" s="93" t="s">
        <v>686</v>
      </c>
    </row>
    <row r="6" spans="1:8" x14ac:dyDescent="0.2">
      <c r="B6" s="93" t="s">
        <v>43</v>
      </c>
      <c r="C6" s="93" t="s">
        <v>687</v>
      </c>
    </row>
    <row r="7" spans="1:8" x14ac:dyDescent="0.2">
      <c r="B7" s="93" t="s">
        <v>681</v>
      </c>
      <c r="C7" s="93" t="s">
        <v>36</v>
      </c>
    </row>
    <row r="8" spans="1:8" x14ac:dyDescent="0.2">
      <c r="B8" s="93" t="s">
        <v>37</v>
      </c>
      <c r="C8" s="93" t="s">
        <v>86</v>
      </c>
    </row>
    <row r="9" spans="1:8" x14ac:dyDescent="0.2">
      <c r="B9" s="93" t="s">
        <v>150</v>
      </c>
      <c r="C9" s="93" t="s">
        <v>149</v>
      </c>
    </row>
    <row r="10" spans="1:8" x14ac:dyDescent="0.2">
      <c r="B10" s="93" t="s">
        <v>88</v>
      </c>
      <c r="C10" s="93" t="s">
        <v>688</v>
      </c>
    </row>
    <row r="11" spans="1:8" x14ac:dyDescent="0.2">
      <c r="B11" s="93" t="s">
        <v>99</v>
      </c>
      <c r="C11" s="93" t="s">
        <v>689</v>
      </c>
    </row>
    <row r="12" spans="1:8" x14ac:dyDescent="0.2">
      <c r="B12" s="93" t="s">
        <v>682</v>
      </c>
      <c r="C12" s="93" t="s">
        <v>690</v>
      </c>
    </row>
    <row r="13" spans="1:8" x14ac:dyDescent="0.2">
      <c r="B13" s="93" t="s">
        <v>144</v>
      </c>
      <c r="C13" s="93" t="s">
        <v>691</v>
      </c>
    </row>
    <row r="14" spans="1:8" x14ac:dyDescent="0.2">
      <c r="B14" s="93" t="s">
        <v>683</v>
      </c>
      <c r="C14" s="93" t="s">
        <v>143</v>
      </c>
    </row>
    <row r="15" spans="1:8" x14ac:dyDescent="0.2">
      <c r="C15" s="93" t="s">
        <v>692</v>
      </c>
    </row>
    <row r="16" spans="1:8" x14ac:dyDescent="0.2">
      <c r="C16" s="93" t="s">
        <v>693</v>
      </c>
    </row>
    <row r="17" spans="3:3" x14ac:dyDescent="0.2">
      <c r="C17" s="93" t="s">
        <v>694</v>
      </c>
    </row>
    <row r="18" spans="3:3" x14ac:dyDescent="0.2">
      <c r="C18" s="93" t="s">
        <v>80</v>
      </c>
    </row>
    <row r="19" spans="3:3" x14ac:dyDescent="0.2">
      <c r="C19" s="93" t="s">
        <v>695</v>
      </c>
    </row>
    <row r="20" spans="3:3" x14ac:dyDescent="0.2">
      <c r="C20" s="93" t="s">
        <v>109</v>
      </c>
    </row>
    <row r="21" spans="3:3" x14ac:dyDescent="0.2">
      <c r="C21" s="93" t="s">
        <v>77</v>
      </c>
    </row>
    <row r="22" spans="3:3" x14ac:dyDescent="0.2">
      <c r="C22" s="93" t="s">
        <v>696</v>
      </c>
    </row>
    <row r="23" spans="3:3" x14ac:dyDescent="0.2">
      <c r="C23" s="93" t="s">
        <v>697</v>
      </c>
    </row>
    <row r="24" spans="3:3" x14ac:dyDescent="0.2">
      <c r="C24" s="93" t="s">
        <v>698</v>
      </c>
    </row>
    <row r="25" spans="3:3" x14ac:dyDescent="0.2">
      <c r="C25" s="93" t="s">
        <v>699</v>
      </c>
    </row>
    <row r="26" spans="3:3" x14ac:dyDescent="0.2">
      <c r="C26" s="93" t="s">
        <v>700</v>
      </c>
    </row>
    <row r="27" spans="3:3" x14ac:dyDescent="0.2">
      <c r="C27" s="93" t="s">
        <v>41</v>
      </c>
    </row>
    <row r="28" spans="3:3" x14ac:dyDescent="0.2">
      <c r="C28" s="93" t="s">
        <v>701</v>
      </c>
    </row>
    <row r="29" spans="3:3" x14ac:dyDescent="0.2">
      <c r="C29" s="93" t="s">
        <v>83</v>
      </c>
    </row>
    <row r="30" spans="3:3" x14ac:dyDescent="0.2">
      <c r="C30" s="93" t="s">
        <v>81</v>
      </c>
    </row>
    <row r="31" spans="3:3" x14ac:dyDescent="0.2">
      <c r="C31" s="93" t="s">
        <v>702</v>
      </c>
    </row>
    <row r="32" spans="3:3" x14ac:dyDescent="0.2">
      <c r="C32" s="93" t="s">
        <v>703</v>
      </c>
    </row>
    <row r="33" spans="3:3" x14ac:dyDescent="0.2">
      <c r="C33" s="93" t="s">
        <v>148</v>
      </c>
    </row>
    <row r="34" spans="3:3" x14ac:dyDescent="0.2">
      <c r="C34" s="93" t="s">
        <v>45</v>
      </c>
    </row>
    <row r="35" spans="3:3" x14ac:dyDescent="0.2">
      <c r="C35" s="93" t="s">
        <v>87</v>
      </c>
    </row>
    <row r="36" spans="3:3" x14ac:dyDescent="0.2">
      <c r="C36" s="93" t="s">
        <v>739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53"/>
  <sheetViews>
    <sheetView zoomScale="160" zoomScaleNormal="160" workbookViewId="0">
      <selection activeCell="J9" sqref="J9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12" t="s">
        <v>659</v>
      </c>
    </row>
    <row r="2" spans="1:13" x14ac:dyDescent="0.2">
      <c r="A2" s="36"/>
    </row>
    <row r="3" spans="1:13" x14ac:dyDescent="0.2">
      <c r="A3" s="36" t="s">
        <v>660</v>
      </c>
      <c r="B3">
        <f>B12+D12+F12</f>
        <v>902</v>
      </c>
      <c r="F3" s="124" t="s">
        <v>55</v>
      </c>
      <c r="G3" s="125" t="s">
        <v>662</v>
      </c>
      <c r="H3" s="126"/>
    </row>
    <row r="4" spans="1:13" x14ac:dyDescent="0.2">
      <c r="A4" s="56" t="s">
        <v>661</v>
      </c>
      <c r="B4">
        <f>B13+D13+F13</f>
        <v>5599</v>
      </c>
      <c r="F4" s="127" t="s">
        <v>73</v>
      </c>
      <c r="G4" s="35" t="s">
        <v>662</v>
      </c>
      <c r="H4" s="128"/>
    </row>
    <row r="5" spans="1:13" x14ac:dyDescent="0.2">
      <c r="A5" s="56"/>
      <c r="F5" s="129" t="s">
        <v>91</v>
      </c>
      <c r="G5" s="130" t="s">
        <v>663</v>
      </c>
      <c r="H5" s="131"/>
    </row>
    <row r="6" spans="1:13" x14ac:dyDescent="0.2">
      <c r="A6" s="56" t="s">
        <v>55</v>
      </c>
      <c r="B6" s="123">
        <f>4282+600</f>
        <v>4882</v>
      </c>
      <c r="C6" s="56" t="s">
        <v>676</v>
      </c>
      <c r="L6" s="56"/>
      <c r="M6" s="35"/>
    </row>
    <row r="7" spans="1:13" x14ac:dyDescent="0.2">
      <c r="A7" s="56" t="s">
        <v>73</v>
      </c>
      <c r="B7" s="123">
        <v>1374</v>
      </c>
      <c r="C7" s="56" t="s">
        <v>676</v>
      </c>
      <c r="L7" s="56"/>
      <c r="M7" s="35"/>
    </row>
    <row r="8" spans="1:13" x14ac:dyDescent="0.2">
      <c r="A8" s="56" t="s">
        <v>91</v>
      </c>
      <c r="B8" s="123">
        <v>253</v>
      </c>
      <c r="C8" s="56" t="s">
        <v>676</v>
      </c>
      <c r="L8" s="56"/>
      <c r="M8" s="35"/>
    </row>
    <row r="9" spans="1:13" x14ac:dyDescent="0.2">
      <c r="A9" s="56" t="s">
        <v>113</v>
      </c>
      <c r="B9" s="36">
        <f>SUM(B6:B8)</f>
        <v>6509</v>
      </c>
    </row>
    <row r="10" spans="1:13" x14ac:dyDescent="0.2">
      <c r="A10" s="56"/>
      <c r="L10" s="56"/>
      <c r="M10" s="35"/>
    </row>
    <row r="11" spans="1:13" x14ac:dyDescent="0.2">
      <c r="A11" s="143" t="s">
        <v>55</v>
      </c>
      <c r="B11" s="143"/>
      <c r="C11" s="143" t="s">
        <v>73</v>
      </c>
      <c r="D11" s="143"/>
      <c r="E11" s="143" t="s">
        <v>91</v>
      </c>
      <c r="F11" s="143"/>
      <c r="G11" s="143" t="s">
        <v>658</v>
      </c>
      <c r="H11" s="143"/>
    </row>
    <row r="12" spans="1:13" x14ac:dyDescent="0.2">
      <c r="A12" s="66" t="s">
        <v>38</v>
      </c>
      <c r="B12" s="66">
        <v>902</v>
      </c>
      <c r="C12" s="66" t="s">
        <v>38</v>
      </c>
      <c r="D12" s="66">
        <v>0</v>
      </c>
      <c r="E12" s="66" t="s">
        <v>38</v>
      </c>
      <c r="F12" s="66">
        <v>0</v>
      </c>
    </row>
    <row r="13" spans="1:13" x14ac:dyDescent="0.2">
      <c r="A13" s="66" t="s">
        <v>111</v>
      </c>
      <c r="B13" s="66">
        <f>SUM(B14:B45)</f>
        <v>3973</v>
      </c>
      <c r="C13" s="66" t="s">
        <v>111</v>
      </c>
      <c r="D13" s="66">
        <f>SUM(D14:D45)</f>
        <v>1376</v>
      </c>
      <c r="E13" s="66" t="s">
        <v>111</v>
      </c>
      <c r="F13" s="66">
        <f>SUM(F14:F45)</f>
        <v>250</v>
      </c>
    </row>
    <row r="14" spans="1:13" x14ac:dyDescent="0.2">
      <c r="A14" s="67" t="s">
        <v>34</v>
      </c>
      <c r="B14" s="48">
        <v>2842</v>
      </c>
      <c r="C14" s="67" t="s">
        <v>35</v>
      </c>
      <c r="D14" s="48">
        <v>980</v>
      </c>
      <c r="E14" s="67" t="s">
        <v>149</v>
      </c>
      <c r="F14" s="48">
        <v>141</v>
      </c>
    </row>
    <row r="15" spans="1:13" x14ac:dyDescent="0.2">
      <c r="A15" s="67" t="s">
        <v>78</v>
      </c>
      <c r="B15" s="48">
        <v>544</v>
      </c>
      <c r="C15" s="67" t="s">
        <v>77</v>
      </c>
      <c r="D15" s="48">
        <v>155</v>
      </c>
      <c r="E15" s="67" t="s">
        <v>150</v>
      </c>
      <c r="F15">
        <v>109</v>
      </c>
    </row>
    <row r="16" spans="1:13" x14ac:dyDescent="0.2">
      <c r="A16" s="67" t="s">
        <v>37</v>
      </c>
      <c r="B16" s="48">
        <v>379</v>
      </c>
      <c r="C16" s="67" t="s">
        <v>109</v>
      </c>
      <c r="D16" s="48">
        <v>83</v>
      </c>
      <c r="E16" s="67"/>
      <c r="F16" s="48"/>
    </row>
    <row r="17" spans="1:10" x14ac:dyDescent="0.2">
      <c r="A17" s="67" t="s">
        <v>99</v>
      </c>
      <c r="B17" s="48">
        <v>93</v>
      </c>
      <c r="C17" s="67" t="s">
        <v>88</v>
      </c>
      <c r="D17" s="48">
        <v>62</v>
      </c>
    </row>
    <row r="18" spans="1:10" x14ac:dyDescent="0.2">
      <c r="A18" s="67" t="s">
        <v>83</v>
      </c>
      <c r="B18" s="48">
        <v>52</v>
      </c>
      <c r="C18" s="67" t="s">
        <v>86</v>
      </c>
      <c r="D18" s="48">
        <v>38</v>
      </c>
      <c r="J18" s="58"/>
    </row>
    <row r="19" spans="1:10" x14ac:dyDescent="0.2">
      <c r="A19" s="67" t="s">
        <v>81</v>
      </c>
      <c r="B19" s="48">
        <v>36</v>
      </c>
      <c r="C19" s="67" t="s">
        <v>87</v>
      </c>
      <c r="D19" s="48">
        <v>34</v>
      </c>
      <c r="J19" s="58"/>
    </row>
    <row r="20" spans="1:10" x14ac:dyDescent="0.2">
      <c r="A20" s="67" t="s">
        <v>80</v>
      </c>
      <c r="B20" s="48">
        <v>27</v>
      </c>
      <c r="C20" s="67" t="s">
        <v>85</v>
      </c>
      <c r="D20" s="48">
        <v>24</v>
      </c>
      <c r="J20" s="58"/>
    </row>
    <row r="21" spans="1:10" x14ac:dyDescent="0.2">
      <c r="J21" s="58"/>
    </row>
    <row r="22" spans="1:10" x14ac:dyDescent="0.2">
      <c r="J22" s="58"/>
    </row>
    <row r="23" spans="1:10" x14ac:dyDescent="0.2">
      <c r="J23" s="58"/>
    </row>
    <row r="26" spans="1:10" x14ac:dyDescent="0.2">
      <c r="I26" s="14"/>
    </row>
    <row r="27" spans="1:10" x14ac:dyDescent="0.2">
      <c r="I27" s="48"/>
    </row>
    <row r="28" spans="1:10" x14ac:dyDescent="0.2">
      <c r="I28" s="48"/>
    </row>
    <row r="29" spans="1:10" x14ac:dyDescent="0.2">
      <c r="I29" s="48"/>
    </row>
    <row r="30" spans="1:10" x14ac:dyDescent="0.2">
      <c r="I30" s="48"/>
    </row>
    <row r="31" spans="1:10" x14ac:dyDescent="0.2">
      <c r="I31" s="48"/>
    </row>
    <row r="32" spans="1:10" x14ac:dyDescent="0.2">
      <c r="I32" s="48"/>
    </row>
    <row r="33" spans="9:9" x14ac:dyDescent="0.2">
      <c r="I33" s="14"/>
    </row>
    <row r="34" spans="9:9" x14ac:dyDescent="0.2">
      <c r="I34" s="14"/>
    </row>
    <row r="35" spans="9:9" x14ac:dyDescent="0.2">
      <c r="I35" s="14"/>
    </row>
    <row r="52" spans="4:6" x14ac:dyDescent="0.2">
      <c r="D52" t="s">
        <v>91</v>
      </c>
      <c r="E52" t="s">
        <v>92</v>
      </c>
      <c r="F52" t="s">
        <v>93</v>
      </c>
    </row>
    <row r="53" spans="4:6" x14ac:dyDescent="0.2">
      <c r="D53" t="s">
        <v>91</v>
      </c>
      <c r="E53" t="s">
        <v>94</v>
      </c>
      <c r="F53" t="s">
        <v>95</v>
      </c>
    </row>
  </sheetData>
  <mergeCells count="4">
    <mergeCell ref="A11:B11"/>
    <mergeCell ref="G11:H11"/>
    <mergeCell ref="C11:D11"/>
    <mergeCell ref="E11:F1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DA4A-BBBA-436B-AC7C-E709129531D0}">
  <sheetPr codeName="Sheet6"/>
  <dimension ref="B2:B6"/>
  <sheetViews>
    <sheetView zoomScale="160" zoomScaleNormal="160" workbookViewId="0">
      <selection activeCell="F25" sqref="F25"/>
    </sheetView>
  </sheetViews>
  <sheetFormatPr defaultRowHeight="12.75" x14ac:dyDescent="0.2"/>
  <sheetData>
    <row r="2" spans="2:2" x14ac:dyDescent="0.2">
      <c r="B2" s="56" t="s">
        <v>704</v>
      </c>
    </row>
    <row r="3" spans="2:2" x14ac:dyDescent="0.2">
      <c r="B3" s="56" t="s">
        <v>705</v>
      </c>
    </row>
    <row r="4" spans="2:2" x14ac:dyDescent="0.2">
      <c r="B4" s="56" t="s">
        <v>712</v>
      </c>
    </row>
    <row r="5" spans="2:2" x14ac:dyDescent="0.2">
      <c r="B5" s="56" t="s">
        <v>713</v>
      </c>
    </row>
    <row r="6" spans="2:2" x14ac:dyDescent="0.2">
      <c r="B6" s="56" t="s">
        <v>715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  <vt:lpstr>improve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2025-10-19T11:01:47Z</dcterms:modified>
</cp:coreProperties>
</file>