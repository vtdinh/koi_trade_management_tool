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g drive vtd180\PERSONAL\Personal Finance\Invest\Invest_Management_Tool\invest_tool_dev_vba\"/>
    </mc:Choice>
  </mc:AlternateContent>
  <xr:revisionPtr revIDLastSave="0" documentId="13_ncr:1_{2295A693-FBE0-4651-B5A4-5A3357DD8F3B}" xr6:coauthVersionLast="47" xr6:coauthVersionMax="47" xr10:uidLastSave="{00000000-0000-0000-0000-000000000000}"/>
  <bookViews>
    <workbookView xWindow="-120" yWindow="-120" windowWidth="38640" windowHeight="21120" tabRatio="787" firstSheet="2" activeTab="2" xr2:uid="{00000000-000D-0000-FFFF-FFFF00000000}"/>
  </bookViews>
  <sheets>
    <sheet name="Monthly_Review" sheetId="17" state="hidden" r:id="rId1"/>
    <sheet name="Dashboard" sheetId="35" r:id="rId2"/>
    <sheet name="Position" sheetId="31" r:id="rId3"/>
    <sheet name="Portfolio_bk" sheetId="16" state="hidden" r:id="rId4"/>
    <sheet name="Order_History" sheetId="18" r:id="rId5"/>
    <sheet name="Sheet1" sheetId="32" state="hidden" r:id="rId6"/>
    <sheet name="Daily_Snapshot" sheetId="27" r:id="rId7"/>
    <sheet name="Category" sheetId="34" r:id="rId8"/>
    <sheet name="storage" sheetId="20" r:id="rId9"/>
    <sheet name="improve" sheetId="37" r:id="rId10"/>
  </sheets>
  <functionGroups builtInGroupCount="19"/>
  <externalReferences>
    <externalReference r:id="rId11"/>
  </externalReferences>
  <definedNames>
    <definedName name="_xlnm._FilterDatabase" localSheetId="4" hidden="1">Order_History!$A$2:$W$53</definedName>
    <definedName name="_xlnm._FilterDatabase" localSheetId="3" hidden="1">Portfolio_bk!$A$8:$D$29</definedName>
    <definedName name="_xlnm._FilterDatabase" localSheetId="2" hidden="1">Position!$A$30:$D$49</definedName>
    <definedName name="Z_0BDD3F89_E0CB_4EA4_8A53_3AADAAB98DEF_.wvu.FilterData" localSheetId="4" hidden="1">Order_History!$A$2:$C$31</definedName>
  </definedNames>
  <calcPr calcId="191029"/>
  <customWorkbookViews>
    <customWorkbookView name="Filter Mã" guid="{0BDD3F89-E0CB-4EA4-8A53-3AADAAB98DEF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1" i="18" l="1"/>
  <c r="F60" i="18"/>
  <c r="F59" i="18" l="1"/>
  <c r="F58" i="18"/>
  <c r="F57" i="18"/>
  <c r="C9" i="31"/>
  <c r="B9" i="20"/>
  <c r="B6" i="20"/>
  <c r="F13" i="20"/>
  <c r="D13" i="20"/>
  <c r="B13" i="20"/>
  <c r="B3" i="20"/>
  <c r="F52" i="18"/>
  <c r="F51" i="18"/>
  <c r="B4" i="20" l="1"/>
  <c r="F3" i="18"/>
  <c r="E4" i="18"/>
  <c r="F55" i="18"/>
  <c r="F54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53" i="18"/>
  <c r="F35" i="18"/>
  <c r="F34" i="18"/>
  <c r="F33" i="18"/>
  <c r="F32" i="18"/>
  <c r="F31" i="18"/>
  <c r="F29" i="18"/>
  <c r="F27" i="18"/>
  <c r="F26" i="18"/>
  <c r="F25" i="18"/>
  <c r="F24" i="18"/>
  <c r="F23" i="18"/>
  <c r="F22" i="18"/>
  <c r="F21" i="18"/>
  <c r="F19" i="18"/>
  <c r="F18" i="18"/>
  <c r="F16" i="18"/>
  <c r="F15" i="18"/>
  <c r="F13" i="18"/>
  <c r="F12" i="18"/>
  <c r="F10" i="18"/>
  <c r="F9" i="18"/>
  <c r="F7" i="18"/>
  <c r="F47" i="32" l="1"/>
  <c r="F45" i="32"/>
  <c r="F44" i="32"/>
  <c r="F43" i="32"/>
  <c r="F42" i="32"/>
  <c r="F41" i="32"/>
  <c r="F39" i="32"/>
  <c r="F37" i="32"/>
  <c r="F36" i="32"/>
  <c r="F35" i="32"/>
  <c r="F34" i="32"/>
  <c r="F33" i="32"/>
  <c r="F32" i="32"/>
  <c r="F31" i="32"/>
  <c r="F29" i="32"/>
  <c r="F28" i="32"/>
  <c r="F26" i="32"/>
  <c r="F25" i="32"/>
  <c r="F23" i="32"/>
  <c r="F22" i="32"/>
  <c r="F20" i="32"/>
  <c r="F19" i="32"/>
  <c r="F17" i="32"/>
  <c r="F14" i="32"/>
  <c r="F11" i="32"/>
  <c r="F4" i="32"/>
  <c r="F3" i="32"/>
  <c r="F2" i="32"/>
  <c r="F1" i="32"/>
  <c r="M18" i="16"/>
  <c r="O18" i="16" s="1"/>
  <c r="P18" i="16" s="1"/>
  <c r="L18" i="16"/>
  <c r="K18" i="16"/>
  <c r="G18" i="16"/>
  <c r="M28" i="16"/>
  <c r="O28" i="16" s="1"/>
  <c r="P28" i="16" s="1"/>
  <c r="L28" i="16"/>
  <c r="K28" i="16"/>
  <c r="K27" i="16"/>
  <c r="K26" i="16"/>
  <c r="K25" i="16"/>
  <c r="K23" i="16"/>
  <c r="K22" i="16"/>
  <c r="K21" i="16"/>
  <c r="K19" i="16"/>
  <c r="M25" i="16"/>
  <c r="O25" i="16" s="1"/>
  <c r="P25" i="16" s="1"/>
  <c r="M23" i="16"/>
  <c r="M22" i="16"/>
  <c r="O22" i="16" s="1"/>
  <c r="P22" i="16" s="1"/>
  <c r="M21" i="16"/>
  <c r="O21" i="16" s="1"/>
  <c r="P21" i="16" s="1"/>
  <c r="M19" i="16"/>
  <c r="O19" i="16" s="1"/>
  <c r="P19" i="16" s="1"/>
  <c r="G25" i="16"/>
  <c r="L25" i="16"/>
  <c r="G23" i="16"/>
  <c r="L23" i="16"/>
  <c r="G22" i="16"/>
  <c r="L22" i="16"/>
  <c r="G21" i="16"/>
  <c r="L21" i="16"/>
  <c r="G19" i="16"/>
  <c r="L19" i="16"/>
  <c r="M17" i="16"/>
  <c r="O17" i="16" s="1"/>
  <c r="P17" i="16" s="1"/>
  <c r="L17" i="16"/>
  <c r="K17" i="16"/>
  <c r="M16" i="16"/>
  <c r="O16" i="16" s="1"/>
  <c r="P16" i="16" s="1"/>
  <c r="L16" i="16"/>
  <c r="K16" i="16"/>
  <c r="M15" i="16"/>
  <c r="L15" i="16"/>
  <c r="K15" i="16"/>
  <c r="G17" i="16"/>
  <c r="G16" i="16"/>
  <c r="G15" i="16"/>
  <c r="M14" i="16"/>
  <c r="L14" i="16"/>
  <c r="K14" i="16"/>
  <c r="G14" i="16"/>
  <c r="K13" i="16"/>
  <c r="E13" i="16"/>
  <c r="K12" i="16"/>
  <c r="E12" i="16"/>
  <c r="L12" i="16" s="1"/>
  <c r="E11" i="16"/>
  <c r="F10" i="16"/>
  <c r="E10" i="16"/>
  <c r="O23" i="16" l="1"/>
  <c r="P23" i="16" s="1"/>
  <c r="O15" i="16"/>
  <c r="P15" i="16" s="1"/>
  <c r="G12" i="16"/>
  <c r="O14" i="16"/>
  <c r="P14" i="16" s="1"/>
  <c r="M12" i="16"/>
  <c r="O12" i="16" s="1"/>
  <c r="P12" i="16" s="1"/>
  <c r="J9" i="16"/>
  <c r="I9" i="16"/>
  <c r="F9" i="16" l="1"/>
  <c r="E9" i="16"/>
  <c r="L9" i="16" s="1"/>
  <c r="K9" i="16"/>
  <c r="F27" i="16"/>
  <c r="E27" i="16"/>
  <c r="G28" i="16"/>
  <c r="K10" i="16"/>
  <c r="M27" i="16" l="1"/>
  <c r="O27" i="16" s="1"/>
  <c r="P27" i="16" s="1"/>
  <c r="L27" i="16"/>
  <c r="G9" i="16"/>
  <c r="M9" i="16"/>
  <c r="O9" i="16" l="1"/>
  <c r="P9" i="16" s="1"/>
  <c r="J7" i="16" l="1"/>
  <c r="K11" i="16" l="1"/>
  <c r="G27" i="16"/>
  <c r="F4" i="17" l="1"/>
  <c r="C4" i="16"/>
  <c r="M11" i="16"/>
  <c r="M13" i="16"/>
  <c r="M10" i="16"/>
  <c r="N18" i="16" s="1"/>
  <c r="L11" i="16"/>
  <c r="L13" i="16"/>
  <c r="G13" i="16"/>
  <c r="G11" i="16"/>
  <c r="G10" i="16"/>
  <c r="L10" i="16"/>
  <c r="N14" i="16" l="1"/>
  <c r="N28" i="16"/>
  <c r="N16" i="16"/>
  <c r="N22" i="16"/>
  <c r="N23" i="16"/>
  <c r="N15" i="16"/>
  <c r="N21" i="16"/>
  <c r="N27" i="16"/>
  <c r="N19" i="16"/>
  <c r="N17" i="16"/>
  <c r="N25" i="16"/>
  <c r="N12" i="16"/>
  <c r="N10" i="16"/>
  <c r="M7" i="16"/>
  <c r="N9" i="16"/>
  <c r="N13" i="16"/>
  <c r="N11" i="16"/>
  <c r="O11" i="16"/>
  <c r="P11" i="16" s="1"/>
  <c r="O13" i="16"/>
  <c r="P13" i="16" s="1"/>
  <c r="O10" i="16"/>
  <c r="P10" i="16" l="1"/>
  <c r="O7" i="16"/>
  <c r="P7" i="16" s="1"/>
  <c r="B3" i="16"/>
  <c r="C3" i="16" l="1"/>
  <c r="B5" i="16"/>
  <c r="C5" i="16" l="1"/>
  <c r="C9" i="17"/>
  <c r="C10" i="17" s="1"/>
  <c r="C11" i="17" s="1"/>
  <c r="F5" i="17"/>
  <c r="F6" i="17" s="1"/>
  <c r="F7" i="1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10" authorId="0" shapeId="0" xr:uid="{4F9FF4F2-564A-456A-8710-C317E7D555F6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ATH 3 tháng gần nhất</t>
        </r>
      </text>
    </comment>
    <comment ref="A11" authorId="0" shapeId="0" xr:uid="{195194A7-F8BD-46FC-8E78-73AED2742C67}">
      <text>
        <r>
          <rPr>
            <b/>
            <sz val="11"/>
            <color indexed="81"/>
            <rFont val="Tahoma"/>
            <family val="2"/>
          </rPr>
          <t xml:space="preserve">AD:
</t>
        </r>
        <r>
          <rPr>
            <sz val="11"/>
            <color indexed="81"/>
            <rFont val="Tahoma"/>
            <family val="2"/>
          </rPr>
          <t>ATL 3 tháng gần nhất</t>
        </r>
      </text>
    </comment>
    <comment ref="A12" authorId="0" shapeId="0" xr:uid="{C3F2EB84-78B6-4335-B426-7D45F4CEC61D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drawdown ở hiện tại, so sánh với Max. NAV trong 3 tháng gần nhất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2" authorId="0" shapeId="0" xr:uid="{2E1066A0-BEBA-4DA0-9278-48310318C72A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UTC+0 (tính theo giờ sàn)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9" authorId="0" shapeId="0" xr:uid="{0ED8A817-7B9A-42C9-8B3F-1C071C35EFC4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sharedStrings.xml><?xml version="1.0" encoding="utf-8"?>
<sst xmlns="http://schemas.openxmlformats.org/spreadsheetml/2006/main" count="1210" uniqueCount="741">
  <si>
    <t>NAV</t>
  </si>
  <si>
    <t>LN</t>
  </si>
  <si>
    <t>ROE</t>
  </si>
  <si>
    <t xml:space="preserve">Vốn chủ </t>
  </si>
  <si>
    <t xml:space="preserve">  NAV đầu kì</t>
  </si>
  <si>
    <t xml:space="preserve">  Nộp thêm</t>
  </si>
  <si>
    <t xml:space="preserve">  Rút ra</t>
  </si>
  <si>
    <t>Tiền mặt cuối kì</t>
  </si>
  <si>
    <t>NAV cuối kì</t>
  </si>
  <si>
    <t>LN lũy kế</t>
  </si>
  <si>
    <t>%LN</t>
  </si>
  <si>
    <t>QUẢN TRỊ VỐN</t>
  </si>
  <si>
    <t>QUẢN TRỊ DEAL</t>
  </si>
  <si>
    <t>Vị thế</t>
  </si>
  <si>
    <t>Ngày mở</t>
  </si>
  <si>
    <t>Ngày đóng</t>
  </si>
  <si>
    <t>KL 
mua</t>
  </si>
  <si>
    <t>Tổng vốn</t>
  </si>
  <si>
    <t>Giá vốn
 TB</t>
  </si>
  <si>
    <t>Giá 
TT</t>
  </si>
  <si>
    <t>KL 
bán</t>
  </si>
  <si>
    <t xml:space="preserve">Tiền bán </t>
  </si>
  <si>
    <t>Giá bán
 TB</t>
  </si>
  <si>
    <t>Giá trị
còn lại</t>
  </si>
  <si>
    <t>LN
tạm tính</t>
  </si>
  <si>
    <t>ROIC
tạm tính</t>
  </si>
  <si>
    <t>Đóng</t>
  </si>
  <si>
    <t>VND</t>
  </si>
  <si>
    <t>&lt;- insert new col</t>
  </si>
  <si>
    <t>KL
còn lại</t>
  </si>
  <si>
    <t>GT coin cuối gì</t>
  </si>
  <si>
    <t>Tổng GT coin</t>
  </si>
  <si>
    <t>Mã coin</t>
  </si>
  <si>
    <t>Mở</t>
  </si>
  <si>
    <t>ETH</t>
  </si>
  <si>
    <t>SOL</t>
  </si>
  <si>
    <t>DOT</t>
  </si>
  <si>
    <t>ADA</t>
  </si>
  <si>
    <t>USDT</t>
  </si>
  <si>
    <t>USDT/VND</t>
  </si>
  <si>
    <t>ĐÁNH GIÁ ĐẦU TƯ COIN</t>
  </si>
  <si>
    <t>ARB</t>
  </si>
  <si>
    <t>LTC</t>
  </si>
  <si>
    <t>DOGE</t>
  </si>
  <si>
    <t>PORTFOLIO</t>
  </si>
  <si>
    <t>OP</t>
  </si>
  <si>
    <t>nạp 200$ sàn OKX giá 25.7 để vào group bắn signal Arcapital</t>
  </si>
  <si>
    <t>chuyển coin về ví. nạp thêm 75$ vào OKX để bù vào tiền mua coin trước đó (giữ nguyên 200$ trên OKX để trade coin)</t>
  </si>
  <si>
    <t>BTC</t>
  </si>
  <si>
    <t>Sau khi phân tích BTC xong, mua lấy hên</t>
  </si>
  <si>
    <t>TT sập mạnh, nạp 5tr vào Binance múc BTC+ETH (giá USDT: 26.5)</t>
  </si>
  <si>
    <t>múc 1 phần tại vùng giá tròn 60k</t>
  </si>
  <si>
    <t>múc 1 phần tại vùng giá tròn 3k</t>
  </si>
  <si>
    <t>Chỗ cất</t>
  </si>
  <si>
    <t>Tỉ trọng
/Tổng coin</t>
  </si>
  <si>
    <t>Binance</t>
  </si>
  <si>
    <t>Metamask</t>
  </si>
  <si>
    <t>0xb14f1eCBbCB1ad9DcD6D531c3Da9a80448E8934A</t>
  </si>
  <si>
    <t>mua thêm, sóng hồi cây break tin ETF</t>
  </si>
  <si>
    <t>nạp 15tr vào binance</t>
  </si>
  <si>
    <t>binance</t>
  </si>
  <si>
    <t>nạp 10tr vào binance</t>
  </si>
  <si>
    <t>ORDER HISTORY</t>
  </si>
  <si>
    <t>nạp 15tr vào OKX</t>
  </si>
  <si>
    <t>mua thêm</t>
  </si>
  <si>
    <t>mua thêm vùng 60k (lệnh limit)</t>
  </si>
  <si>
    <t>okx</t>
  </si>
  <si>
    <t>3 vùng 55,60,60 về đến là mua thêm (lệnh limit)</t>
  </si>
  <si>
    <t>mua thêm, ăn theo BTC giảm (lệnh limit)</t>
  </si>
  <si>
    <t>mua thêm, sóng hồi (buy limit)</t>
  </si>
  <si>
    <t>rớt xuống vùng mua (đáy cũ), múc thêm</t>
  </si>
  <si>
    <t>sập mạnh -&gt; múc (múc theo BTC)</t>
  </si>
  <si>
    <t>Binance+OKX</t>
  </si>
  <si>
    <t>OKX</t>
  </si>
  <si>
    <t>nạp 20tr vào OKX</t>
  </si>
  <si>
    <t>mua gom thêm vùng đáy</t>
  </si>
  <si>
    <t>lên đỉnh hộp, bán bớt</t>
  </si>
  <si>
    <t>WLD</t>
  </si>
  <si>
    <t>BNB</t>
  </si>
  <si>
    <t>bán tiếp ở giá tròn 100</t>
  </si>
  <si>
    <t>NEAR</t>
  </si>
  <si>
    <t>ALGO</t>
  </si>
  <si>
    <t>Tăng rướn, bán hết</t>
  </si>
  <si>
    <t>VET</t>
  </si>
  <si>
    <t>mua DCA</t>
  </si>
  <si>
    <t>AR</t>
  </si>
  <si>
    <t>UNI</t>
  </si>
  <si>
    <t>INJ</t>
  </si>
  <si>
    <t>LINK</t>
  </si>
  <si>
    <t xml:space="preserve">?? </t>
  </si>
  <si>
    <t>bán trước giá 100</t>
  </si>
  <si>
    <t>Bybit</t>
  </si>
  <si>
    <t>Acc1</t>
  </si>
  <si>
    <t>vtd180/kyc:dinh</t>
  </si>
  <si>
    <t>acc2</t>
  </si>
  <si>
    <t>mp1102/kyc:thach</t>
  </si>
  <si>
    <t>ko lên nổi 100, bán chớ sợ lại rớt</t>
  </si>
  <si>
    <t>bán hết ở okx</t>
  </si>
  <si>
    <t>lúc trước còn 0.002BTC, lấy chuyển qua ví keyless Binance để cày airdrop sàn</t>
  </si>
  <si>
    <t>SUI</t>
  </si>
  <si>
    <t>Tiền</t>
  </si>
  <si>
    <t>nạp 3tr vào sàn bybit để làm nhiệm vụ trade to earn</t>
  </si>
  <si>
    <t xml:space="preserve">nạp 10tr vào binance, mua thêm </t>
  </si>
  <si>
    <t>nạp 30tr vào Binance để cày Alpha, mua P2P bị lỗi chọn nhầm giá (mua giá cao 27.2 thay vì giá bình thường 26.2, do xớn xác)</t>
  </si>
  <si>
    <t>Tổng tiền bỏ vào (USD)</t>
  </si>
  <si>
    <t>Date</t>
  </si>
  <si>
    <t>Total deposit</t>
  </si>
  <si>
    <t>Total withdraw</t>
  </si>
  <si>
    <t>Total profit</t>
  </si>
  <si>
    <t>ONDO</t>
  </si>
  <si>
    <t>Type</t>
  </si>
  <si>
    <t>Coin</t>
  </si>
  <si>
    <t>Price</t>
  </si>
  <si>
    <t>Total</t>
  </si>
  <si>
    <t>Why?</t>
  </si>
  <si>
    <t>Deposit</t>
  </si>
  <si>
    <t>Buy</t>
  </si>
  <si>
    <t>Withdraw</t>
  </si>
  <si>
    <t>Sell</t>
  </si>
  <si>
    <t>Trade H1 (hồi về vùng VCP H1 cũ)</t>
  </si>
  <si>
    <t>Qty</t>
  </si>
  <si>
    <t>Position</t>
  </si>
  <si>
    <t>Open date</t>
  </si>
  <si>
    <t>Close date</t>
  </si>
  <si>
    <t>Buy
Qty</t>
  </si>
  <si>
    <t>Cost</t>
  </si>
  <si>
    <t>POSITION</t>
  </si>
  <si>
    <t>Market Price</t>
  </si>
  <si>
    <t>Sell Qty</t>
  </si>
  <si>
    <t>Sell proceeds</t>
  </si>
  <si>
    <t>Avg sell price</t>
  </si>
  <si>
    <t>Exchange</t>
  </si>
  <si>
    <t>Available
Balance</t>
  </si>
  <si>
    <t>Available 
Qty</t>
  </si>
  <si>
    <t>PnL</t>
  </si>
  <si>
    <t>Storage</t>
  </si>
  <si>
    <t>%PnL</t>
  </si>
  <si>
    <t>bybit</t>
  </si>
  <si>
    <t>Cash</t>
  </si>
  <si>
    <t>XRP</t>
  </si>
  <si>
    <t>Alt.LOW</t>
  </si>
  <si>
    <t>Alt.MID</t>
  </si>
  <si>
    <t>Alt.TOP</t>
  </si>
  <si>
    <t>PEPE</t>
  </si>
  <si>
    <t>XLM</t>
  </si>
  <si>
    <t>Holdings</t>
  </si>
  <si>
    <t>From</t>
  </si>
  <si>
    <t>To</t>
  </si>
  <si>
    <t>FIL</t>
  </si>
  <si>
    <t>MNT</t>
  </si>
  <si>
    <t>HYPE</t>
  </si>
  <si>
    <t>mở mua mới</t>
  </si>
  <si>
    <t>ko truy lại lịch sử mua bán được, quản lí lại từ 1/8</t>
  </si>
  <si>
    <t>8-Nov-2022: nạp 118 (chơi coin lần đầu)
5-dec-2022: rút 45 ( Binance dính FUD)
22-Jun-2023: nạp 100 (fud Binance chìm, nạp vào chơi tiếp)
9-nov-22: buy 0.02 ETH mất 26$ -&gt; 11/03/24 bán 0.01 ETH thu về 40$ -&gt; coi như nạp thêm 14$</t>
  </si>
  <si>
    <t>còn 40$ ETH lần trước vẫn chưa bán, quy về ngày hôm nay luôn</t>
  </si>
  <si>
    <t>Open</t>
  </si>
  <si>
    <t>ETH: 40</t>
  </si>
  <si>
    <t>ETH: 37</t>
  </si>
  <si>
    <t>ETH: 38</t>
  </si>
  <si>
    <t>ETH: 39</t>
  </si>
  <si>
    <t>ETH: 42</t>
  </si>
  <si>
    <t>ETH: 34</t>
  </si>
  <si>
    <t>ETH: 36; BTC: 20</t>
  </si>
  <si>
    <t>ETH: 35; BTC: 20</t>
  </si>
  <si>
    <t>ETH: 129; BTC: 115</t>
  </si>
  <si>
    <t>ETH: 132; BTC: 119</t>
  </si>
  <si>
    <t>ETH: 132; BTC: 120</t>
  </si>
  <si>
    <t>ETH: 136; BTC: 122</t>
  </si>
  <si>
    <t>ETH: 138; BTC: 126</t>
  </si>
  <si>
    <t>ETH: 139; BTC: 125</t>
  </si>
  <si>
    <t>ETH: 136; BTC: 121</t>
  </si>
  <si>
    <t>ETH: 135; BTC: 120</t>
  </si>
  <si>
    <t>ETH: 141; BTC: 119</t>
  </si>
  <si>
    <t>ETH: 139; BTC: 120</t>
  </si>
  <si>
    <t>ETH: 130; BTC: 114</t>
  </si>
  <si>
    <t>ETH: 128; BTC: 110</t>
  </si>
  <si>
    <t>ETH: 129; BTC: 111</t>
  </si>
  <si>
    <t>ETH: 134; BTC: 118</t>
  </si>
  <si>
    <t>ETH: 136; BTC: 120</t>
  </si>
  <si>
    <t>ETH: 130; BTC: 117</t>
  </si>
  <si>
    <t>ETH: 131; BTC: 119</t>
  </si>
  <si>
    <t>ETH: 126; BTC: 114</t>
  </si>
  <si>
    <t>ETH: 127; BTC: 116</t>
  </si>
  <si>
    <t>ETH: 128; BTC: 118</t>
  </si>
  <si>
    <t>ETH: 125; BTC: 116</t>
  </si>
  <si>
    <t>ETH: 131; BTC: 124</t>
  </si>
  <si>
    <t>ETH: 127; BTC: 123</t>
  </si>
  <si>
    <t>ETH: 134; BTC: 126</t>
  </si>
  <si>
    <t>ETH: 135; BTC: 126</t>
  </si>
  <si>
    <t>ETH: 133; BTC: 125</t>
  </si>
  <si>
    <t>ETH: 158; BTC: 134</t>
  </si>
  <si>
    <t>ETH: 164; BTC: 132</t>
  </si>
  <si>
    <t>ETH: 162; BTC: 130</t>
  </si>
  <si>
    <t>ETH: 164; BTC: 128</t>
  </si>
  <si>
    <t>ETH: 161; BTC: 129</t>
  </si>
  <si>
    <t>ETH: 165; BTC: 129</t>
  </si>
  <si>
    <t>ETH: 168; BTC: 131</t>
  </si>
  <si>
    <t>ETH: 166; BTC: 129</t>
  </si>
  <si>
    <t>ETH: 163; BTC: 127</t>
  </si>
  <si>
    <t>ETH: 162; BTC: 129</t>
  </si>
  <si>
    <t>ETH: 165; BTC: 127</t>
  </si>
  <si>
    <t>ETH: 163; BTC: 129</t>
  </si>
  <si>
    <t>ETH: 165; BTC: 133</t>
  </si>
  <si>
    <t>ETH: 167; BTC: 134</t>
  </si>
  <si>
    <t>ETH: 159; BTC: 130</t>
  </si>
  <si>
    <t>ETH: 160; BTC: 131</t>
  </si>
  <si>
    <t>ETH: 159; BTC: 131</t>
  </si>
  <si>
    <t>ETH: 151; BTC: 127</t>
  </si>
  <si>
    <t>ETH: 154; BTC: 128</t>
  </si>
  <si>
    <t>ETH: 150; BTC: 126</t>
  </si>
  <si>
    <t>ETH: 150; BTC: 124</t>
  </si>
  <si>
    <t>ETH: 154; BTC: 125</t>
  </si>
  <si>
    <t>ETH: 157; BTC: 125</t>
  </si>
  <si>
    <t>ETH: 152; BTC: 125</t>
  </si>
  <si>
    <t>BTC: 523; ETH: 151</t>
  </si>
  <si>
    <t>BTC: 522; ETH: 154</t>
  </si>
  <si>
    <t>BTC: 521; ETH: 152</t>
  </si>
  <si>
    <t>BTC: 515; ETH: 152</t>
  </si>
  <si>
    <t>BTC: 516; ETH: 151</t>
  </si>
  <si>
    <t>BTC: 508; ETH: 148</t>
  </si>
  <si>
    <t>BTC: 484; ETH: 145</t>
  </si>
  <si>
    <t>BTC: 909; ETH: 147</t>
  </si>
  <si>
    <t>BTC: 895; ETH: 146</t>
  </si>
  <si>
    <t>BTC: 907; ETH: 149</t>
  </si>
  <si>
    <t>BTC: 888; ETH: 146</t>
  </si>
  <si>
    <t>BTC: 897; ETH: 146</t>
  </si>
  <si>
    <t>BTC: 923; ETH: 149</t>
  </si>
  <si>
    <t>BTC: 925; ETH: 149</t>
  </si>
  <si>
    <t>BTC: 913; ETH: 148</t>
  </si>
  <si>
    <t>BTC: 885; ETH: 142</t>
  </si>
  <si>
    <t>BTC: 839; ETH: 472</t>
  </si>
  <si>
    <t>BTC: 832; ETH: 460</t>
  </si>
  <si>
    <t>BTC: 856; ETH: 474</t>
  </si>
  <si>
    <t>BTC: 821; ETH: 453</t>
  </si>
  <si>
    <t>BTC: 834; ETH: 466</t>
  </si>
  <si>
    <t>BTC: 853; ETH: 474</t>
  </si>
  <si>
    <t>BTC: 849; ETH: 479</t>
  </si>
  <si>
    <t>BTC: 843; ETH: 479</t>
  </si>
  <si>
    <t>BTC: 851; ETH: 484</t>
  </si>
  <si>
    <t>BTC: 870; ETH: 490</t>
  </si>
  <si>
    <t>BTC: 894; ETH: 501</t>
  </si>
  <si>
    <t>BTC: 951; ETH: 538</t>
  </si>
  <si>
    <t>BTC: 956; ETH: 532</t>
  </si>
  <si>
    <t>BTC: 942; ETH: 523</t>
  </si>
  <si>
    <t>BTC: 941; ETH: 529</t>
  </si>
  <si>
    <t>BTC: 980; ETH: 541</t>
  </si>
  <si>
    <t>BTC: 987; ETH: 543</t>
  </si>
  <si>
    <t>BTC: 1,002; ETH: 546</t>
  </si>
  <si>
    <t>BTC: 993; ETH: 531</t>
  </si>
  <si>
    <t>BTC: 969; ETH: 538</t>
  </si>
  <si>
    <t>BTC: 961; ETH: 515</t>
  </si>
  <si>
    <t>BTC: 967; ETH: 490</t>
  </si>
  <si>
    <t>BTC: 998; ETH: 506</t>
  </si>
  <si>
    <t>BTC: 998; ETH: 502</t>
  </si>
  <si>
    <t>BTC: 1,003; ETH: 505</t>
  </si>
  <si>
    <t>BTC: 982; ETH: 512</t>
  </si>
  <si>
    <t>BTC: 973; ETH: 506</t>
  </si>
  <si>
    <t>BTC: 950; ETH: 499</t>
  </si>
  <si>
    <t>BTC: 961; ETH: 495</t>
  </si>
  <si>
    <t>BTC: 904; ETH: 656</t>
  </si>
  <si>
    <t>BTC: 892; ETH: 637</t>
  </si>
  <si>
    <t>BTC: 855; ETH: 590</t>
  </si>
  <si>
    <t>BTC: 980; ETH: 531</t>
  </si>
  <si>
    <t>BTC: 1,017; ETH: 540</t>
  </si>
  <si>
    <t>BTC: 1,001; ETH: 514</t>
  </si>
  <si>
    <t>BTC: 1,120; ETH: 589</t>
  </si>
  <si>
    <t>BTC: 1,104; ETH: 570</t>
  </si>
  <si>
    <t>BTC: 1,106; ETH: 573</t>
  </si>
  <si>
    <t>BTC: 1,066; ETH: 561</t>
  </si>
  <si>
    <t>BTC: 1,077; ETH: 598</t>
  </si>
  <si>
    <t>BTC: 1,100; ETH: 593</t>
  </si>
  <si>
    <t>BTC: 1,065; ETH: 584</t>
  </si>
  <si>
    <t>BTC: 1,044; ETH: 564</t>
  </si>
  <si>
    <t>BTC: 1,069; ETH: 569</t>
  </si>
  <si>
    <t>BTC: 1,080; ETH: 574</t>
  </si>
  <si>
    <t>BTC: 1,060; ETH: 573</t>
  </si>
  <si>
    <t>BTC: 1,079; ETH: 579</t>
  </si>
  <si>
    <t>BTC: 1,071; ETH: 565</t>
  </si>
  <si>
    <t>BTC: 1,110; ETH: 577</t>
  </si>
  <si>
    <t>BTC: 1,096; ETH: 576</t>
  </si>
  <si>
    <t>BTC: 1,162; ETH: 606</t>
  </si>
  <si>
    <t>BTC: 1,164; ETH: 608</t>
  </si>
  <si>
    <t>BTC: 1,166; ETH: 603</t>
  </si>
  <si>
    <t>BTC: 1,140; ETH: 588</t>
  </si>
  <si>
    <t>BTC: 1,078; ETH: 539</t>
  </si>
  <si>
    <t>BTC: 1,071; ETH: 555</t>
  </si>
  <si>
    <t>BTC: 1,077; ETH: 555</t>
  </si>
  <si>
    <t>BTC: 1,073; ETH: 555</t>
  </si>
  <si>
    <t>BTC: 1,070; ETH: 552</t>
  </si>
  <si>
    <t>BTC: 1,040; ETH: 532</t>
  </si>
  <si>
    <t>BTC: 1,073; ETH: 557</t>
  </si>
  <si>
    <t>BTC: 1,043; ETH: 532</t>
  </si>
  <si>
    <t>BTC: 1,052; ETH: 538</t>
  </si>
  <si>
    <t>BTC: 1,020; ETH: 520</t>
  </si>
  <si>
    <t>BTC: 1,279; ETH: 488</t>
  </si>
  <si>
    <t>BTC: 1,284; ETH: 809</t>
  </si>
  <si>
    <t>BTC: 1,300; ETH: 817</t>
  </si>
  <si>
    <t>BTC: 1,352; ETH: 840</t>
  </si>
  <si>
    <t>BTC: 1,366; ETH: 850</t>
  </si>
  <si>
    <t>BTC: 1,359; ETH: 833</t>
  </si>
  <si>
    <t>BTC: 1,378; ETH: 840</t>
  </si>
  <si>
    <t>BTC: 1,434; ETH: 868</t>
  </si>
  <si>
    <t>BTC: 1,422; ETH: 860</t>
  </si>
  <si>
    <t>BTC: 1,401; ETH: 824</t>
  </si>
  <si>
    <t>BTC: 1,380; ETH: 817</t>
  </si>
  <si>
    <t>BTC: 1,429; ETH: 833</t>
  </si>
  <si>
    <t>BTC: 1,464; ETH: 845</t>
  </si>
  <si>
    <t>BTC: 1,492; ETH: 877</t>
  </si>
  <si>
    <t>BTC: 1,498; ETH: 911</t>
  </si>
  <si>
    <t>BTC: 1,501; ETH: 930</t>
  </si>
  <si>
    <t>BTC: 1,507; ETH: 918</t>
  </si>
  <si>
    <t>BTC: 1,501; ETH: 942</t>
  </si>
  <si>
    <t>BTC: 1,523; ETH: 944</t>
  </si>
  <si>
    <t>BTC: 1,497; ETH: 918</t>
  </si>
  <si>
    <t>BTC: 1,545; ETH: 937</t>
  </si>
  <si>
    <t>BTC: 1,559; ETH: 959</t>
  </si>
  <si>
    <t>BTC: 1,561; ETH: 952</t>
  </si>
  <si>
    <t>BTC: 1,555; ETH: 946</t>
  </si>
  <si>
    <t>BTC: 1,501; ETH: 926</t>
  </si>
  <si>
    <t>BTC: 1,441; ETH: 871</t>
  </si>
  <si>
    <t>BTC: 1,437; ETH: 841</t>
  </si>
  <si>
    <t>BTC: 1,440; ETH: 836</t>
  </si>
  <si>
    <t>BTC: 1,471; ETH: 859</t>
  </si>
  <si>
    <t>BTC: 1,489; ETH: 868</t>
  </si>
  <si>
    <t>BTC: 1,475; ETH: 862</t>
  </si>
  <si>
    <t>BTC: 1,473; ETH: 869</t>
  </si>
  <si>
    <t>BTC: 1,437; ETH: 843</t>
  </si>
  <si>
    <t>BTC: 1,430; ETH: 849</t>
  </si>
  <si>
    <t>BTC: 1,482; ETH: 868</t>
  </si>
  <si>
    <t>BTC: 1,498; ETH: 881</t>
  </si>
  <si>
    <t>BTC: 1,490; ETH: 878</t>
  </si>
  <si>
    <t>BTC: 1,566; ETH: 936</t>
  </si>
  <si>
    <t>BTC: 1,590; ETH: 928</t>
  </si>
  <si>
    <t>BTC: 1,603; ETH: 929</t>
  </si>
  <si>
    <t>BTC: 1,598; ETH: 927</t>
  </si>
  <si>
    <t>BTC: 1,622; ETH: 940</t>
  </si>
  <si>
    <t>BTC: 1,621; ETH: 942</t>
  </si>
  <si>
    <t>BTC: 1,636; ETH: 977</t>
  </si>
  <si>
    <t>BTC: 1,597; ETH: 949</t>
  </si>
  <si>
    <t>BTC: 1,598; ETH: 933</t>
  </si>
  <si>
    <t>BTC: 1,580; ETH: 898</t>
  </si>
  <si>
    <t>BTC: 1,616; ETH: 902</t>
  </si>
  <si>
    <t>BTC: 1,581; ETH: 868</t>
  </si>
  <si>
    <t>BTC: 1,590; ETH: 883</t>
  </si>
  <si>
    <t>BTC: 1,612; ETH: 892</t>
  </si>
  <si>
    <t>BTC: 1,658; ETH: 914</t>
  </si>
  <si>
    <t>BTC: 1,724; ETH: 939</t>
  </si>
  <si>
    <t>BTC: 1,281; ETH: 946</t>
  </si>
  <si>
    <t>BTC: 1,244; ETH: 896</t>
  </si>
  <si>
    <t>BTC: 1,230; ETH: 894</t>
  </si>
  <si>
    <t>BTC: 1,228; ETH: 887</t>
  </si>
  <si>
    <t>BTC: 1,217; ETH: 875</t>
  </si>
  <si>
    <t>BTC: 1,201; ETH: 853</t>
  </si>
  <si>
    <t>BTC: 1,228; ETH: 1,065</t>
  </si>
  <si>
    <t>BTC: 1,338; ETH: 1,197</t>
  </si>
  <si>
    <t>BTC: 1,343; ETH: 1,273</t>
  </si>
  <si>
    <t>BTC: 1,354; ETH: 1,303</t>
  </si>
  <si>
    <t>ETH: 1,375; BTC: 1,357</t>
  </si>
  <si>
    <t>BTC: 1,423; ETH: 1,400</t>
  </si>
  <si>
    <t>BTC: 1,569; ETH: 1,483</t>
  </si>
  <si>
    <t>BTC: 1,557; ETH: 1,427</t>
  </si>
  <si>
    <t>BTC: 1,600; ETH: 1,402</t>
  </si>
  <si>
    <t>BTC: 1,546; ETH: 1,345</t>
  </si>
  <si>
    <t>BTC: 1,611; ETH: 1,359</t>
  </si>
  <si>
    <t>BTC: 1,603; ETH: 1,378</t>
  </si>
  <si>
    <t>BTC: 1,590; ETH: 1,353</t>
  </si>
  <si>
    <t>BTC: 1,601; ETH: 1,411</t>
  </si>
  <si>
    <t>BTC: 1,634; ETH: 1,367</t>
  </si>
  <si>
    <t>BTC: 1,669; ETH: 1,350</t>
  </si>
  <si>
    <t>BTC: 1,740; ETH: 1,476</t>
  </si>
  <si>
    <t>BTC: 1,750; ETH: 1,464</t>
  </si>
  <si>
    <t>BTC: 1,729; ETH: 1,493</t>
  </si>
  <si>
    <t>BTC: 1,733; ETH: 1,478</t>
  </si>
  <si>
    <t>BTC: 1,646; ETH: 1,502</t>
  </si>
  <si>
    <t>ETH: 1,462; BTC: 800</t>
  </si>
  <si>
    <t>ETH: 1,607; BTC: 834</t>
  </si>
  <si>
    <t>ETH: 1,574; BTC: 832</t>
  </si>
  <si>
    <t>ETH: 1,580; BTC: 848</t>
  </si>
  <si>
    <t>ETH: 1,629; BTC: 839</t>
  </si>
  <si>
    <t>ETH: 1,631; BTC: 846</t>
  </si>
  <si>
    <t>ETH: 1,602; BTC: 834</t>
  </si>
  <si>
    <t>ETH: 1,590; BTC: 834</t>
  </si>
  <si>
    <t>ETH: 1,688; BTC: 858</t>
  </si>
  <si>
    <t>ETH: 1,665; BTC: 843</t>
  </si>
  <si>
    <t>ETH: 1,759; BTC: 868</t>
  </si>
  <si>
    <t>ETH: 1,758; BTC: 869</t>
  </si>
  <si>
    <t>ETH: 1,761; BTC: 880</t>
  </si>
  <si>
    <t>ETH: 1,633; BTC: 846</t>
  </si>
  <si>
    <t>ETH: 1,596; BTC: 840</t>
  </si>
  <si>
    <t>ETH: 1,685; BTC: 880</t>
  </si>
  <si>
    <t>ETH: 1,707; BTC: 870</t>
  </si>
  <si>
    <t>ETH: 1,718; BTC: 882</t>
  </si>
  <si>
    <t>ETH: 1,702; BTC: 882</t>
  </si>
  <si>
    <t>ETH: 1,741; BTC: 909</t>
  </si>
  <si>
    <t>ETH: 1,753; BTC: 923</t>
  </si>
  <si>
    <t>ETH: 1,712; BTC: 923</t>
  </si>
  <si>
    <t>ETH: 1,595; BTC: 872</t>
  </si>
  <si>
    <t>ETH: 1,503; BTC: 848</t>
  </si>
  <si>
    <t>ETH: 1,527; BTC: 851</t>
  </si>
  <si>
    <t>ETH: 1,469; BTC: 846</t>
  </si>
  <si>
    <t>ETH: 1,443; BTC: 828</t>
  </si>
  <si>
    <t>ETH: 1,505; BTC: 825</t>
  </si>
  <si>
    <t>ETH: 1,536; BTC: 858</t>
  </si>
  <si>
    <t>ETH: 1,538; BTC: 865</t>
  </si>
  <si>
    <t>ETH: 1,467; BTC: 833</t>
  </si>
  <si>
    <t>ETH: 1,466; BTC: 820</t>
  </si>
  <si>
    <t>ETH: 1,497; BTC: 829</t>
  </si>
  <si>
    <t>ETH: 1,476; BTC: 816</t>
  </si>
  <si>
    <t>ETH: 1,479; BTC: 807</t>
  </si>
  <si>
    <t>ETH: 1,468; BTC: 814</t>
  </si>
  <si>
    <t>ETH: 1,478; BTC: 823</t>
  </si>
  <si>
    <t>ETH: 1,520; BTC: 844</t>
  </si>
  <si>
    <t>ETH: 1,587; BTC: 854</t>
  </si>
  <si>
    <t>ETH: 1,608; BTC: 855</t>
  </si>
  <si>
    <t>ETH: 1,599; BTC: 856</t>
  </si>
  <si>
    <t>ETH: 1,622; BTC: 609</t>
  </si>
  <si>
    <t>ETH: 1,487; BTC: 578</t>
  </si>
  <si>
    <t>ETH: 1,463; BTC: 567</t>
  </si>
  <si>
    <t>ETH: 1,416; BTC: 552</t>
  </si>
  <si>
    <t>ETH: 1,437; BTC: 565</t>
  </si>
  <si>
    <t>ETH: 1,444; BTC: 564</t>
  </si>
  <si>
    <t>ETH: 1,437; BTC: 563</t>
  </si>
  <si>
    <t>ETH: 1,529; BTC: 563</t>
  </si>
  <si>
    <t>ETH: 1,572; BTC: 576</t>
  </si>
  <si>
    <t>ETH: 1,682; BTC: 276</t>
  </si>
  <si>
    <t>ETH: 1,612; BTC: 275</t>
  </si>
  <si>
    <t>ETH: 1,692; BTC: 286</t>
  </si>
  <si>
    <t>ETH: 1,612; BTC: 287</t>
  </si>
  <si>
    <t>ETH: 1,566; BTC: 193</t>
  </si>
  <si>
    <t>ETH: 1,600; BTC: 194</t>
  </si>
  <si>
    <t>ETH: 1,621; BTC: 202</t>
  </si>
  <si>
    <t>ETH: 1,580; BTC: 197</t>
  </si>
  <si>
    <t>ETH: 1,626; BTC: 198</t>
  </si>
  <si>
    <t>ETH: 1,613; BTC: 199</t>
  </si>
  <si>
    <t>ETH: 1,617; BTC: 199</t>
  </si>
  <si>
    <t>ETH: 1,575; BTC: 195</t>
  </si>
  <si>
    <t>ETH: 1,551; BTC: 194</t>
  </si>
  <si>
    <t>ETH: 1,500; BTC: 193</t>
  </si>
  <si>
    <t>ETH: 1,517; BTC: 197</t>
  </si>
  <si>
    <t>ETH: 1,582; BTC: 199</t>
  </si>
  <si>
    <t>ETH: 1,608; BTC: 195</t>
  </si>
  <si>
    <t>ETH: 1,519; BTC: 191</t>
  </si>
  <si>
    <t>ETH: 1,398; BTC: 186</t>
  </si>
  <si>
    <t>ETH: 1,403; BTC: 193</t>
  </si>
  <si>
    <t>ETH: 1,331; BTC: 186</t>
  </si>
  <si>
    <t>ETH: 1,358; BTC: 184</t>
  </si>
  <si>
    <t>ETH: 1,309; BTC: 184</t>
  </si>
  <si>
    <t>ETH: 1,278; BTC: 184</t>
  </si>
  <si>
    <t>ETH: 1,283; BTC: 183</t>
  </si>
  <si>
    <t>ETH: 1,280; BTC: 183</t>
  </si>
  <si>
    <t>ETH: 1,297; BTC: 185</t>
  </si>
  <si>
    <t>ETH: 1,268; BTC: 182</t>
  </si>
  <si>
    <t>ETH: 1,334; BTC: 186</t>
  </si>
  <si>
    <t>ETH: 1,304; BTC: 184</t>
  </si>
  <si>
    <t>ETH: 1,328; BTC: 185</t>
  </si>
  <si>
    <t>ETH: 1,312; BTC: 186</t>
  </si>
  <si>
    <t>ETH: 1,297; BTC: 183</t>
  </si>
  <si>
    <t>ETH: 1,337; BTC: 182</t>
  </si>
  <si>
    <t>ETH: 1,302; BTC: 182</t>
  </si>
  <si>
    <t>ETH: 1,323; BTC: 184</t>
  </si>
  <si>
    <t>ETH: 1,334; BTC: 187</t>
  </si>
  <si>
    <t>ETH: 1,346; BTC: 184</t>
  </si>
  <si>
    <t>ETH: 1,374; BTC: 183</t>
  </si>
  <si>
    <t>ETH: 1,225; BTC: 174</t>
  </si>
  <si>
    <t>ETH: 1,216; BTC: 169</t>
  </si>
  <si>
    <t>ETH: 1,138; BTC: 160</t>
  </si>
  <si>
    <t>ETH: 1,124; BTC: 161</t>
  </si>
  <si>
    <t>ETH: 1,250; BTC: 160</t>
  </si>
  <si>
    <t>ETH: 1,239; BTC: 164</t>
  </si>
  <si>
    <t>ETH: 1,407; BTC: 179</t>
  </si>
  <si>
    <t>ETH: 1,200; BTC: 164</t>
  </si>
  <si>
    <t>ETH: 1,213; BTC: 166</t>
  </si>
  <si>
    <t>ETH: 1,252; BTC: 172</t>
  </si>
  <si>
    <t>ETH: 1,230; BTC: 171</t>
  </si>
  <si>
    <t>ETH: 1,196; BTC: 165</t>
  </si>
  <si>
    <t>ETH: 1,231; BTC: 164</t>
  </si>
  <si>
    <t>ETH: 1,129; BTC: 154</t>
  </si>
  <si>
    <t>ETH: 1,042; BTC: 149</t>
  </si>
  <si>
    <t>ETH: 1,074; BTC: 158</t>
  </si>
  <si>
    <t>ETH: 1,066; BTC: 159</t>
  </si>
  <si>
    <t>ETH: 1,042; BTC: 154</t>
  </si>
  <si>
    <t>ETH: 1,068; BTC: 160</t>
  </si>
  <si>
    <t>ETH: 1,082; BTC: 160</t>
  </si>
  <si>
    <t>ETH: 1,054; BTC: 157</t>
  </si>
  <si>
    <t>ETH: 1,076; BTC: 160</t>
  </si>
  <si>
    <t>ETH: 1,079; BTC: 157</t>
  </si>
  <si>
    <t>ETH: 1,149; BTC: 165</t>
  </si>
  <si>
    <t>ETH: 1,108; BTC: 160</t>
  </si>
  <si>
    <t>ETH: 1,098; BTC: 160</t>
  </si>
  <si>
    <t>ETH: 1,106; BTC: 159</t>
  </si>
  <si>
    <t>ETH: 1,121; BTC: 164</t>
  </si>
  <si>
    <t>ETH: 1,163; BTC: 166</t>
  </si>
  <si>
    <t>ETH: 1,154; BTC: 166</t>
  </si>
  <si>
    <t>ETH: 1,123; BTC: 165</t>
  </si>
  <si>
    <t>ETH: 1,119; BTC: 166</t>
  </si>
  <si>
    <t>ETH: 1,060; BTC: 161</t>
  </si>
  <si>
    <t>ETH: 1,021; BTC: 157</t>
  </si>
  <si>
    <t>ETH: 1,010; BTC: 157</t>
  </si>
  <si>
    <t>ETH: 1,018; BTC: 157</t>
  </si>
  <si>
    <t>ETH: 1,064; BTC: 162</t>
  </si>
  <si>
    <t>ETH: 1,003; BTC: 157</t>
  </si>
  <si>
    <t>Closed</t>
  </si>
  <si>
    <t>ETH: 1,015</t>
  </si>
  <si>
    <t>ETH: 1,009</t>
  </si>
  <si>
    <t>ETH: 883</t>
  </si>
  <si>
    <t>ETH: 868</t>
  </si>
  <si>
    <t>ETH: 823</t>
  </si>
  <si>
    <t>ETH: 933</t>
  </si>
  <si>
    <t>ETH: 850</t>
  </si>
  <si>
    <t>ETH: 875</t>
  </si>
  <si>
    <t>ETH: 918</t>
  </si>
  <si>
    <t>ETH: 893</t>
  </si>
  <si>
    <t>ETH: 907</t>
  </si>
  <si>
    <t>ETH: 888</t>
  </si>
  <si>
    <t>ETH: 881</t>
  </si>
  <si>
    <t>ETH: 885</t>
  </si>
  <si>
    <t>ETH: 887</t>
  </si>
  <si>
    <t>ETH: 901</t>
  </si>
  <si>
    <t>ETH: 882</t>
  </si>
  <si>
    <t>ETH: 981</t>
  </si>
  <si>
    <t>ETH: 1,003</t>
  </si>
  <si>
    <t>ETH: 989</t>
  </si>
  <si>
    <t>ETH: 997</t>
  </si>
  <si>
    <t>ETH: 1,017</t>
  </si>
  <si>
    <t>ETH: 1,001</t>
  </si>
  <si>
    <t>ETH: 1,005</t>
  </si>
  <si>
    <t>ETH: 1,004</t>
  </si>
  <si>
    <t>ETH: 1,002</t>
  </si>
  <si>
    <t>ETH: 1,027</t>
  </si>
  <si>
    <t>ETH: 1,029</t>
  </si>
  <si>
    <t>ETH: 1,024</t>
  </si>
  <si>
    <t>ETH: 1,010</t>
  </si>
  <si>
    <t>ETH: 1,012</t>
  </si>
  <si>
    <t>ETH: 1,233</t>
  </si>
  <si>
    <t>ETH: 1,310</t>
  </si>
  <si>
    <t>ETH: 1,443</t>
  </si>
  <si>
    <t>ETH: 1,405</t>
  </si>
  <si>
    <t>ETH: 1,394</t>
  </si>
  <si>
    <t>ETH: 1,497</t>
  </si>
  <si>
    <t>ETH: 1,458</t>
  </si>
  <si>
    <t>ETH: 1,424</t>
  </si>
  <si>
    <t>ETH: 1,417</t>
  </si>
  <si>
    <t>ETH: 1,383</t>
  </si>
  <si>
    <t>ETH: 1,395</t>
  </si>
  <si>
    <t>ETH: 1,412</t>
  </si>
  <si>
    <t>ETH: 1,410</t>
  </si>
  <si>
    <t>ETH: 1,425</t>
  </si>
  <si>
    <t>ETH: 1,489</t>
  </si>
  <si>
    <t>ETH: 1,411</t>
  </si>
  <si>
    <t>ETH: 1,414</t>
  </si>
  <si>
    <t>ETH: 1,432</t>
  </si>
  <si>
    <t>ETH: 1,486</t>
  </si>
  <si>
    <t>ETH: 1,498</t>
  </si>
  <si>
    <t>ETH: 1,470</t>
  </si>
  <si>
    <t>ETH: 1,418</t>
  </si>
  <si>
    <t>ETH: 1,457</t>
  </si>
  <si>
    <t>ETH: 1,449</t>
  </si>
  <si>
    <t>ETH: 1,349</t>
  </si>
  <si>
    <t>ETH: 1,402</t>
  </si>
  <si>
    <t>ETH: 1,573</t>
  </si>
  <si>
    <t>ETH: 1,548</t>
  </si>
  <si>
    <t>ETH: 1,476</t>
  </si>
  <si>
    <t>ETH: 1,441</t>
  </si>
  <si>
    <t>ETH: 1,423</t>
  </si>
  <si>
    <t>ETH: 1,421</t>
  </si>
  <si>
    <t>ETH: 1,408</t>
  </si>
  <si>
    <t>ETH: 1,344</t>
  </si>
  <si>
    <t>ETH: 1,282</t>
  </si>
  <si>
    <t>ETH: 1,244</t>
  </si>
  <si>
    <t>ETH: 1,347</t>
  </si>
  <si>
    <t>ETH: 1,368</t>
  </si>
  <si>
    <t>ETH: 1,351</t>
  </si>
  <si>
    <t>ETH: 1,350</t>
  </si>
  <si>
    <t>ETH: 1,354</t>
  </si>
  <si>
    <t>ETH: 1,361</t>
  </si>
  <si>
    <t>ETH: 1,397</t>
  </si>
  <si>
    <t>ETH: 1,388</t>
  </si>
  <si>
    <t>ETH: 1,343</t>
  </si>
  <si>
    <t>ETH: 1,436</t>
  </si>
  <si>
    <t>ETH: 1,448</t>
  </si>
  <si>
    <t>ETH: 1,401</t>
  </si>
  <si>
    <t>ETH: 1,406</t>
  </si>
  <si>
    <t>ETH: 1,420</t>
  </si>
  <si>
    <t>ETH: 1,461</t>
  </si>
  <si>
    <t>ETH: 1,547</t>
  </si>
  <si>
    <t>ETH: 1,649</t>
  </si>
  <si>
    <t>ETH: 1,653</t>
  </si>
  <si>
    <t>ETH: 1,644</t>
  </si>
  <si>
    <t>ETH: 1,660</t>
  </si>
  <si>
    <t>ETH: 1,683</t>
  </si>
  <si>
    <t>ETH: 1,753</t>
  </si>
  <si>
    <t>ETH: 1,883</t>
  </si>
  <si>
    <t>ETH: 1,942</t>
  </si>
  <si>
    <t>ETH: 1,981</t>
  </si>
  <si>
    <t>ETH: 2,007</t>
  </si>
  <si>
    <t>ETH: 2,099</t>
  </si>
  <si>
    <t>ETH: 2,102</t>
  </si>
  <si>
    <t>ETH: 2,093</t>
  </si>
  <si>
    <t>ETH: 2,027</t>
  </si>
  <si>
    <t>ETH: 2,071</t>
  </si>
  <si>
    <t>ETH: 2,081</t>
  </si>
  <si>
    <t>ETH: 2,090</t>
  </si>
  <si>
    <t>ETH: 2,163</t>
  </si>
  <si>
    <t>ETH: 2,122</t>
  </si>
  <si>
    <t>ETH: 2,119</t>
  </si>
  <si>
    <t>ETH: 2,128</t>
  </si>
  <si>
    <t>ETH: 2,066</t>
  </si>
  <si>
    <t>rút 300$ bỏ vào tk exness đánh BTC (join group 5phut + lợi phí hơn sàn cex)</t>
  </si>
  <si>
    <t>GRASS</t>
  </si>
  <si>
    <t xml:space="preserve">correct cash balance </t>
  </si>
  <si>
    <t>ETH: 1,949; SOL: 658; BNB: 444; ADA: 292; WLD: 90; SUI: 87; ONDO: 68; VET: 47; LINK: 40; ALGO: 35; UNI: 35; INJ: 30; NEAR: 24; AR: 21</t>
  </si>
  <si>
    <t>ETH: 1,896; SOL: 641; BNB: 432; ADA: 285; WLD: 88; SUI: 84; ONDO: 67; VET: 46; LINK: 39; ALGO: 33; UNI: 33; INJ: 29; NEAR: 23; AR: 21</t>
  </si>
  <si>
    <t>ETH: 1,953; SOL: 655; BNB: 440; ADA: 297; WLD: 91; SUI: 87; ONDO: 70; VET: 47; LINK: 41; ALGO: 36; UNI: 35; INJ: 31; NEAR: 24; AR: 21</t>
  </si>
  <si>
    <t>ETH: 2,079; SOL: 686; BNB: 451; ADA: 309; WLD: 94; SUI: 90; ONDO: 72; VET: 49; LINK: 43; UNI: 38; ALGO: 36; INJ: 32; NEAR: 25; AR: 23</t>
  </si>
  <si>
    <t>ETH: 2,018; SOL: 664; BNB: 443; ADA: 297; WLD: 89; SUI: 86; ONDO: 70; VET: 47; LINK: 41; UNI: 37; ALGO: 35; INJ: 31; NEAR: 24; AR: 22</t>
  </si>
  <si>
    <t>ETH: 2,058; SOL: 680; BNB: 451; ADA: 303; WLD: 91; SUI: 88; ONDO: 72; VET: 48; LINK: 42; UNI: 37; ALGO: 36; INJ: 31; NEAR: 25; AR: 22</t>
  </si>
  <si>
    <t>ETH: 2,184; SOL: 709; BNB: 462; ADA: 322; WLD: 96; SUI: 95; ONDO: 77; VET: 50; LINK: 46; UNI: 40; ALGO: 39; INJ: 33; NEAR: 26; AR: 24</t>
  </si>
  <si>
    <t>ETH: 2,240; SOL: 715; BNB: 465; ADA: 323; WLD: 97; SUI: 96; ONDO: 78; VET: 51; LINK: 50; UNI: 42; ALGO: 39; INJ: 33; NEAR: 27; AR: 25</t>
  </si>
  <si>
    <t>ETH: 2,380; SOL: 728; BNB: 468; ADA: 328; WLD: 101; SUI: 98; ONDO: 79; LINK: 55; VET: 52; UNI: 42; ALGO: 40; INJ: 34; NEAR: 28; AR: 26</t>
  </si>
  <si>
    <t>ETH: 2,374; SOL: 739; BNB: 473; ADA: 328; WLD: 101; SUI: 97; ONDO: 78; LINK: 55; VET: 52; UNI: 42; ALGO: 39; INJ: 34; NEAR: 27; AR: 26</t>
  </si>
  <si>
    <t>ETH: 2,359; SOL: 707; BNB: 472; ADA: 316; WLD: 93; SUI: 92; ONDO: 75; LINK: 53; VET: 51; UNI: 42; ALGO: 37; INJ: 32; NEAR: 26; AR: 24</t>
  </si>
  <si>
    <t>ETH: 2,564; SOL: 775; BNB: 488; ADA: 344; WLD: 99; SUI: 97; ONDO: 81; LINK: 59; VET: 53; UNI: 44; ALGO: 40; INJ: 35; NEAR: 28; AR: 26</t>
  </si>
  <si>
    <t>ETH: 2,653; SOL: 815; BNB: 497; ADA: 370; WLD: 105; SUI: 101; ONDO: 82; LINK: 60; VET: 55; UNI: 46; ALGO: 41; INJ: 38; NEAR: 30; AR: 28</t>
  </si>
  <si>
    <t>ETH: 2,540; SOL: 778; BNB: 493; ADA: 378; SUI: 94; WLD: 94; ONDO: 76; LINK: 56; VET: 51; UNI: 42; ALGO: 37; INJ: 36; NEAR: 27; AR: 24</t>
  </si>
  <si>
    <t>ETH: 2,480; SOL: 751; BNB: 485; ADA: 386; SUI: 93; WLD: 93; ONDO: 75; LINK: 54; VET: 50; UNI: 41; ALGO: 37; INJ: 34; NEAR: 27; AR: 24</t>
  </si>
  <si>
    <t>ETH: 2,470; SOL: 767; BNB: 492; ADA: 377; SUI: 95; WLD: 94; ONDO: 76; LINK: 57; VET: 51; UNI: 42; ALGO: 38; INJ: 35; NEAR: 27; AR: 24</t>
  </si>
  <si>
    <t>ETH: 2,498; SOL: 772; BNB: 501; ADA: 393; SUI: 94; WLD: 94; ONDO: 77; LINK: 64; VET: 51; UNI: 42; ALGO: 39; INJ: 37; NEAR: 27; AR: 24</t>
  </si>
  <si>
    <t>ETH: 2,610; SOL: 740; BNB: 497; ADA: 378; SUI: 90; WLD: 89; ONDO: 73; LINK: 64; VET: 49; UNI: 40; ALGO: 37; INJ: 34; NEAR: 25; AR: 23</t>
  </si>
  <si>
    <t>ETH: 2,466; SOL: 713; BNB: 483; ADA: 346; SUI: 86; WLD: 84; ONDO: 69; LINK: 59; VET: 47; UNI: 38; ALGO: 35; INJ: 31; NEAR: 24; AR: 22</t>
  </si>
  <si>
    <t>ETH: 2,624; SOL: 760; BNB: 509; ADA: 360; WLD: 90; SUI: 89; ONDO: 72; LINK: 66; VET: 49; UNI: 41; ALGO: 38; INJ: 33; NEAR: 25; AR: 23</t>
  </si>
  <si>
    <t>ETH: 2,557; SOL: 729; BNB: 492; ADA: 348; WLD: 88; SUI: 86; ONDO: 70; LINK: 62; VET: 49; UNI: 39; ALGO: 36; INJ: 32; NEAR: 24; AR: 22</t>
  </si>
  <si>
    <t>ETH: 2,924; SOL: 812; BNB: 528; ADA: 381; WLD: 96; SUI: 94; ONDO: 77; LINK: 67; VET: 52; UNI: 44; ALGO: 39; INJ: 35; NEAR: 27; AR: 25</t>
  </si>
  <si>
    <t>ETH: 2,892; SOL: 825; BNB: 516; ADA: 374; WLD: 95; SUI: 94; ONDO: 76; LINK: 66; VET: 53; UNI: 43; ALGO: 39; INJ: 35; NEAR: 27; AR: 24</t>
  </si>
  <si>
    <t>ETH: 2,893; SOL: 833; BNB: 514; ADA: 372; SUI: 92; WLD: 91; ONDO: 74; LINK: 65; VET: 54; UNI: 42; ALGO: 40; INJ: 34; NEAR: 26; AR: 24</t>
  </si>
  <si>
    <t>ETH: 2,648; SOL: 757; BNB: 492; ADA: 342; SUI: 84; WLD: 83; ONDO: 68; LINK: 58; VET: 50; UNI: 37; ALGO: 36; INJ: 30; NEAR: 24; AR: 21</t>
  </si>
  <si>
    <t>ETH: 2,784; SOL: 792; BNB: 506; ADA: 354; WLD: 89; SUI: 87; ONDO: 72; LINK: 61; VET: 52; UNI: 38; ALGO: 37; INJ: 32; NEAR: 25; AR: 22</t>
  </si>
  <si>
    <t>ETH: 2,727; SOL: 821; BNB: 501; ADA: 348; WLD: 87; SUI: 86; ONDO: 71; LINK: 59; VET: 51; UNI: 38; ALGO: 36; INJ: 32; NEAR: 25; AR: 22</t>
  </si>
  <si>
    <t>ETH: 2,730; SOL: 867; BNB: 512; ADA: 351; WLD: 90; SUI: 88; ONDO: 72; LINK: 63; VET: 53; UNI: 38; ALGO: 37; INJ: 33; NEAR: 25; AR: 23</t>
  </si>
  <si>
    <t>ETH: 2,638; SOL: 829; BNB: 505; ADA: 338; WLD: 85; SUI: 82; ONDO: 69; LINK: 59; VET: 50; UNI: 37; ALGO: 35; INJ: 31; NEAR: 24; AR: 21</t>
  </si>
  <si>
    <t>ETH: 2,647; SOL: 820; BNB: 505; ADA: 336; WLD: 85; SUI: 83; ONDO: 69; LINK: 59; VET: 51; UNI: 37; ALGO: 34; INJ: 31; NEAR: 24; AR: 21</t>
  </si>
  <si>
    <t>ETH: 2,658; SOL: 811; BNB: 503; ADA: 332; WLD: 83; SUI: 82; ONDO: 68; LINK: 58; VET: 50; UNI: 37; ALGO: 34; INJ: 30; NEAR: 23; AR: 21</t>
  </si>
  <si>
    <t>ETH: 2,611; SOL: 798; BNB: 496; ADA: 328; SUI: 80; WLD: 80; ONDO: 67; LINK: 56; VET: 48; UNI: 36; ALGO: 33; INJ: 30; NEAR: 23; AR: 20</t>
  </si>
  <si>
    <t>ETH: 2,618; SOL: 848; BNB: 499; ADA: 341; SUI: 83; WLD: 83; ONDO: 72; LINK: 59; VET: 49; UNI: 37; ALGO: 34; INJ: 31; NEAR: 24; AR: 21</t>
  </si>
  <si>
    <t>ETH: 2,693; SOL: 852; BNB: 501; ADA: 342; SUI: 85; WLD: 84; ONDO: 72; LINK: 59; VET: 49; UNI: 37; ALGO: 34; INJ: 31; NEAR: 24; AR: 21</t>
  </si>
  <si>
    <t>ETH: 2,601; SOL: 818; BNB: 495; ADA: 331; SUI: 82; WLD: 81; ONDO: 69; LINK: 56; VET: 48; UNI: 35; ALGO: 33; INJ: 30; NEAR: 23; AR: 21</t>
  </si>
  <si>
    <t>ETH: 2,607; SOL: 822; BNB: 498; ADA: 340; WLD: 86; SUI: 85; ONDO: 69; LINK: 56; VET: 49; UNI: 36; ALGO: 34; INJ: 31; NEAR: 24; AR: 22</t>
  </si>
  <si>
    <t>ETH: 2,586; SOL: 809; BNB: 505; ADA: 335; WLD: 90; SUI: 84; ONDO: 69; LINK: 55; VET: 48; UNI: 36; ALGO: 33; INJ: 31; NEAR: 24; AR: 21</t>
  </si>
  <si>
    <t>ETH: 2,606; SOL: 834; BNB: 516; ADA: 341; WLD: 97; SUI: 85; ONDO: 69; LINK: 56; VET: 48; UNI: 36; ALGO: 34; INJ: 31; NEAR: 24; AR: 22</t>
  </si>
  <si>
    <t>ETH: 2,606; SOL: 866; BNB: 515; ADA: 354; WLD: 147; SUI: 88; ONDO: 71; LINK: 58; VET: 50; UNI: 37; ALGO: 35; INJ: 32; NEAR: 25; AR: 23</t>
  </si>
  <si>
    <t>NAV drawdown</t>
  </si>
  <si>
    <t>%Coin</t>
  </si>
  <si>
    <t>%BTC</t>
  </si>
  <si>
    <t>%Alt.TOP</t>
  </si>
  <si>
    <t>Num of Alt.TOP coin</t>
  </si>
  <si>
    <t>%Alt.MID</t>
  </si>
  <si>
    <t>Num of Alt.MID coin</t>
  </si>
  <si>
    <t>%Alt.LOW</t>
  </si>
  <si>
    <t>Num of Alt.LOW coin</t>
  </si>
  <si>
    <t>Metamask1</t>
  </si>
  <si>
    <t>Sheet này để kiểm kê coi giá trị thực tế có khớp với giá trị tính không</t>
  </si>
  <si>
    <t>Total Cash</t>
  </si>
  <si>
    <t>Total Coin</t>
  </si>
  <si>
    <t>dinhvt@gm</t>
  </si>
  <si>
    <t>vtd180@gm</t>
  </si>
  <si>
    <t>CAPITAL &amp; PORTFOLIO MANAGEMENT</t>
  </si>
  <si>
    <t>CAPITAL</t>
  </si>
  <si>
    <t>Action</t>
  </si>
  <si>
    <t>Limit</t>
  </si>
  <si>
    <t>%NAV</t>
  </si>
  <si>
    <t>Max. NAV 3M</t>
  </si>
  <si>
    <t>Min. NAV 3M</t>
  </si>
  <si>
    <t>Reduce %Alt.TOP</t>
  </si>
  <si>
    <t>Reduce Num of Alt.MID coin</t>
  </si>
  <si>
    <t>Select date</t>
  </si>
  <si>
    <t>&gt;&gt;CẮT LỖ NHANH, GỒNG LÃI LÂU&lt;&lt;</t>
  </si>
  <si>
    <t>nạp ARB từ ví lên sàn</t>
  </si>
  <si>
    <t>nhập tay</t>
  </si>
  <si>
    <t>Market cap</t>
  </si>
  <si>
    <t>10B - 100B</t>
  </si>
  <si>
    <t>1B-10B</t>
  </si>
  <si>
    <t>&lt;1B</t>
  </si>
  <si>
    <t>TRX</t>
  </si>
  <si>
    <t>AVAX</t>
  </si>
  <si>
    <t>BCH</t>
  </si>
  <si>
    <t>HBAR</t>
  </si>
  <si>
    <t>LEO</t>
  </si>
  <si>
    <t>CRO</t>
  </si>
  <si>
    <t>SHIB</t>
  </si>
  <si>
    <t>TON</t>
  </si>
  <si>
    <t>XMR</t>
  </si>
  <si>
    <t xml:space="preserve">WLFI </t>
  </si>
  <si>
    <t>DAI</t>
  </si>
  <si>
    <t>ENA</t>
  </si>
  <si>
    <t>AAVE</t>
  </si>
  <si>
    <t>OKB</t>
  </si>
  <si>
    <t>TAO</t>
  </si>
  <si>
    <t>BGB</t>
  </si>
  <si>
    <t>APT</t>
  </si>
  <si>
    <t>IP</t>
  </si>
  <si>
    <t>MYX</t>
  </si>
  <si>
    <t>PI</t>
  </si>
  <si>
    <t>PUMP</t>
  </si>
  <si>
    <t>ICP</t>
  </si>
  <si>
    <t>RENDER</t>
  </si>
  <si>
    <t>SEI</t>
  </si>
  <si>
    <t>tối ưu thuật toán tín position, dùng last position + order history của ngày hôm đó thay vì phải tính lại từ đầu đến cuối</t>
  </si>
  <si>
    <t>Hàm Update all snapshot: chạy xong hết rồi mới báo message thành công</t>
  </si>
  <si>
    <t>Check NAV !</t>
  </si>
  <si>
    <t>H4 break VCP, múc thêm</t>
  </si>
  <si>
    <t>Cutloss
price</t>
  </si>
  <si>
    <t>Cutloss
amount</t>
  </si>
  <si>
    <t>H1 break VCP, múc thêm</t>
  </si>
  <si>
    <t>SL lệnh mua thêm 200$ ngày 18/08/2025</t>
  </si>
  <si>
    <t>fix lỗi ngày 19/09: mất con HYPE</t>
  </si>
  <si>
    <t>change avg.cost to avg.price</t>
  </si>
  <si>
    <t>Avg. cost</t>
  </si>
  <si>
    <t>(UTC+0)</t>
  </si>
  <si>
    <t>show the warning message when can not fetch the price</t>
  </si>
  <si>
    <t>ETH: 2,440; SOL: 912; BNB: 563; ADA: 324; MNT: 143; WLD: 120; HYPE: 88; SUI: 81; ONDO: 68; LINK: 53; VET: 46; ALGO: 31; ARB: 30; UNI: 29; INJ: 28; NEAR: 27; AR: 19</t>
  </si>
  <si>
    <t>ETH: 2,704; SOL: 1,060; BNB: 577; ADA: 364; WLD: 141; MNT: 135; HYPE: 111; SUI: 91; ONDO: 78; LINK: 59; VET: 51; UNI: 35; ALGO: 34; ARB: 34; INJ: 33; NEAR: 31; AR: 22</t>
  </si>
  <si>
    <t>ETH: 2,513; SOL: 941; BNB: 597; ADA: 332; MNT: 141; WLD: 127; HYPE: 90; SUI: 84; ONDO: 70; LINK: 54; VET: 47; ALGO: 31; NEAR: 30; UNI: 30; ARB: 30; INJ: 29; AR: 20</t>
  </si>
  <si>
    <t>ETH: 2,711; SOL: 1,065; BNB: 612; ADA: 365; WLD: 141; MNT: 137; HYPE: 107; SUI: 92; ONDO: 77; LINK: 58; VET: 51; ALGO: 35; UNI: 35; ARB: 34; INJ: 33; NEAR: 31; AR: 22</t>
  </si>
  <si>
    <t>ETH: 2,786; SOL: 969; BNB: 543; ADA: 363; WLD: 148; MNT: 134; HYPE: 106; SUI: 93; ONDO: 80; LINK: 60; VET: 51; UNI: 36; ARB: 36; ALGO: 35; INJ: 33; NEAR: 27; AR: 24</t>
  </si>
  <si>
    <t>ETH: 2,776; SOL: 1,100; BNB: 575; ADA: 378; MNT: 344; WLD: 150; HYPE: 115; SUI: 98; ONDO: 82; LINK: 62; VET: 53; UNI: 37; ARB: 37; ALGO: 36; INJ: 35; NEAR: 31; AR: 24</t>
  </si>
  <si>
    <t>ETH: 2,608; SOL: 878; BNB: 516; ADA: 354; WLD: 181; MNT: 110; HYPE: 105; SUI: 87; ONDO: 72; LINK: 58; VET: 50; UNI: 36; ALGO: 34; INJ: 33; NEAR: 26; AR: 23</t>
  </si>
  <si>
    <t>ETH: 2,632; SOL: 906; BNB: 524; ADA: 362; WLD: 175; MNT: 121; HYPE: 109; SUI: 91; ONDO: 78; LINK: 59; VET: 50; UNI: 37; ALGO: 35; INJ: 33; NEAR: 27; AR: 24</t>
  </si>
  <si>
    <t>ETH: 2,698; SOL: 925; BNB: 529; ADA: 365; WLD: 155; MNT: 134; HYPE: 112; SUI: 92; ONDO: 82; LINK: 61; VET: 51; UNI: 38; ALGO: 36; INJ: 34; NEAR: 27; AR: 24</t>
  </si>
  <si>
    <t>ETH: 2,851; SOL: 979; BNB: 542; ADA: 375; WLD: 156; MNT: 141; HYPE: 109; SUI: 93; ONDO: 84; LINK: 63; VET: 52; UNI: 39; ALGO: 36; INJ: 34; NEAR: 28; AR: 25</t>
  </si>
  <si>
    <t>ETH: 2,824; SOL: 980; BNB: 547; ADA: 380; WLD: 155; MNT: 135; HYPE: 107; SUI: 96; ONDO: 83; LINK: 62; VET: 53; UNI: 39; ARB: 38; ALGO: 37; INJ: 34; NEAR: 28; AR: 25</t>
  </si>
  <si>
    <t>ETH: 2,737; SOL: 947; BNB: 539; ADA: 353; WLD: 142; MNT: 134; HYPE: 106; SUI: 88; ONDO: 79; LINK: 59; VET: 50; UNI: 35; ALGO: 34; ARB: 34; INJ: 32; NEAR: 26; AR: 23</t>
  </si>
  <si>
    <t>ETH: 2,724; SOL: 958; BNB: 560; ADA: 360; MNT: 143; WLD: 142; HYPE: 107; SUI: 90; ONDO: 78; LINK: 59; VET: 50; UNI: 36; ALGO: 35; ARB: 35; INJ: 33; NEAR: 27; AR: 23</t>
  </si>
  <si>
    <t>ETH: 2,778; SOL: 990; BNB: 580; ADA: 374; WLD: 150; MNT: 139; HYPE: 114; SUI: 95; ONDO: 81; LINK: 60; VET: 52; UNI: 37; ALGO: 36; ARB: 36; INJ: 34; NEAR: 28; AR: 24</t>
  </si>
  <si>
    <t>ETH: 2,690; SOL: 1,050; BNB: 614; ADA: 361; WLD: 137; MNT: 127; HYPE: 100; SUI: 91; ONDO: 75; LINK: 57; VET: 50; UNI: 35; ALGO: 34; ARB: 34; INJ: 32; NEAR: 31; AR: 22</t>
  </si>
  <si>
    <t>ETH: 2,541; SOL: 980; BNB: 582; ADA: 338; MNT: 142; WLD: 131; HYPE: 93; SUI: 84; ONDO: 72; LINK: 54; VET: 47; ALGO: 31; UNI: 31; ARB: 30; NEAR: 29; INJ: 29; AR: 20</t>
  </si>
  <si>
    <t>ETH: 2,520; SOL: 948; BNB: 596; ADA: 330; MNT: 144; WLD: 122; HYPE: 88; SUI: 83; ONDO: 70; LINK: 54; VET: 46; ALGO: 31; UNI: 31; ARB: 30; NEAR: 29; INJ: 29; AR: 19</t>
  </si>
  <si>
    <t>ETH: 2,432; SOL: 905; BNB: 568; ADA: 319; MNT: 140; WLD: 120; HYPE: 90; SUI: 80; ONDO: 67; LINK: 52; VET: 45; ALGO: 30; ARB: 30; UNI: 29; INJ: 28; NEAR: 27; AR: 19</t>
  </si>
  <si>
    <t>hồi về đỉnh cũ có phản ứng (phân tích H1), múc thêm 200$</t>
  </si>
  <si>
    <t>ETH: 2,629; SOL: 897; BNB: 570; ADA: 317; MNT: 143; WLD: 118; HYPE: 89; SUI: 79; ONDO: 67; LINK: 52; VET: 45; ALGO: 30; UNI: 29; ARB: 29; INJ: 28; NEAR: 27; AR: 19</t>
  </si>
  <si>
    <t>ETH: 2,344; SOL: 857; BNB: 554; ADA: 312; MNT: 131; WLD: 118; HYPE: 79; SUI: 78; ONDO: 66; LINK: 50; VET: 44; ALGO: 30; UNI: 28; ARB: 28; NEAR: 27; INJ: 27; AR: 18</t>
  </si>
  <si>
    <t>ETH: 2,761; SOL: 946; BNB: 604; ADA: 330; MNT: 157; WLD: 120; HYPE: 91; SUI: 82; ONDO: 68; LINK: 54; VET: 45; ALGO: 30; UNI: 30; INJ: 29; ARB: 29; NEAR: 27; AR: 18</t>
  </si>
  <si>
    <t>ETH: 2,752; SOL: 942; BNB: 603; ADA: 328; MNT: 157; WLD: 119; HYPE: 91; SUI: 82; ONDO: 67; LINK: 54; VET: 45; ALGO: 30; UNI: 29; INJ: 29; ARB: 29; NEAR: 27; AR: 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</si>
</sst>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mmm\-yyyy"/>
    <numFmt numFmtId="165" formatCode="dd\-mmm\-yyyy"/>
    <numFmt numFmtId="166" formatCode="0.0%"/>
    <numFmt numFmtId="167" formatCode="dd&quot;-&quot;mmm&quot;-&quot;yyyy"/>
    <numFmt numFmtId="168" formatCode="#,##0.0"/>
    <numFmt numFmtId="169" formatCode="0.00000"/>
    <numFmt numFmtId="170" formatCode="yyyy\-mm\-dd"/>
    <numFmt numFmtId="171" formatCode="[$-409]d\-mmm\-yy;@"/>
    <numFmt numFmtId="172" formatCode="0.########"/>
    <numFmt numFmtId="173" formatCode="0.000"/>
    <numFmt numFmtId="174" formatCode="dd\-mmm\-yy"/>
    <numFmt numFmtId="175" formatCode="[$-409]d\-m\-yy"/>
    <numFmt numFmtId="176" formatCode="dd/mm/yy"/>
  </numFmts>
  <fonts count="25" x14ac:knownFonts="1">
    <font>
      <sz val="10"/>
      <color rgb="FF000000"/>
      <name val="Arial"/>
    </font>
    <font>
      <b/>
      <sz val="14"/>
      <color rgb="FF4285F4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Calibri"/>
      <family val="2"/>
    </font>
    <font>
      <b/>
      <sz val="10"/>
      <color rgb="FF4285F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B050"/>
      <name val="Arial"/>
      <family val="2"/>
    </font>
    <font>
      <sz val="10"/>
      <color rgb="FFFFC000"/>
      <name val="Arial"/>
      <family val="2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0"/>
      <color rgb="FF48A428"/>
      <name val="Arial"/>
      <family val="2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sz val="10"/>
      <color rgb="FFC00000"/>
      <name val="Arial"/>
      <family val="2"/>
    </font>
    <font>
      <b/>
      <sz val="10"/>
      <color rgb="FF339966"/>
      <name val="Arial"/>
      <family val="2"/>
    </font>
    <font>
      <b/>
      <sz val="12"/>
      <color theme="1"/>
      <name val="Arial"/>
      <family val="2"/>
    </font>
    <font>
      <u/>
      <sz val="10"/>
      <color theme="10"/>
      <name val="Arial"/>
      <family val="2"/>
    </font>
    <font>
      <i/>
      <sz val="10"/>
      <color rgb="FF00B050"/>
      <name val="Arial"/>
      <family val="2"/>
    </font>
    <font>
      <b/>
      <sz val="10"/>
      <color rgb="FFFF0000"/>
      <name val="Arial"/>
      <family val="2"/>
    </font>
    <font>
      <sz val="10"/>
      <color theme="4" tint="-0.249977111117893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C9DAF8"/>
        <bgColor rgb="FFC9DAF8"/>
      </patternFill>
    </fill>
    <fill>
      <patternFill patternType="solid">
        <fgColor rgb="FFDCEF6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rgb="FFC9DAF8"/>
      </patternFill>
    </fill>
    <fill>
      <patternFill patternType="solid">
        <fgColor theme="9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8" fillId="0" borderId="0" applyFont="0" applyFill="0" applyBorder="0" applyAlignment="0" applyProtection="0"/>
    <xf numFmtId="0" fontId="7" fillId="0" borderId="1"/>
    <xf numFmtId="0" fontId="21" fillId="0" borderId="0" applyNumberFormat="0" applyFill="0" applyBorder="0" applyAlignment="0" applyProtection="0"/>
  </cellStyleXfs>
  <cellXfs count="195">
    <xf numFmtId="0" fontId="0" fillId="0" borderId="0" xfId="0"/>
    <xf numFmtId="0" fontId="1" fillId="0" borderId="0" xfId="0" applyFont="1"/>
    <xf numFmtId="0" fontId="2" fillId="0" borderId="0" xfId="0" applyFont="1"/>
    <xf numFmtId="3" fontId="2" fillId="0" borderId="0" xfId="0" applyNumberFormat="1" applyFont="1"/>
    <xf numFmtId="10" fontId="2" fillId="0" borderId="0" xfId="0" applyNumberFormat="1" applyFont="1"/>
    <xf numFmtId="3" fontId="3" fillId="0" borderId="0" xfId="0" applyNumberFormat="1" applyFont="1"/>
    <xf numFmtId="3" fontId="3" fillId="2" borderId="1" xfId="0" applyNumberFormat="1" applyFont="1" applyFill="1" applyBorder="1"/>
    <xf numFmtId="164" fontId="3" fillId="0" borderId="0" xfId="0" applyNumberFormat="1" applyFont="1"/>
    <xf numFmtId="3" fontId="4" fillId="0" borderId="0" xfId="0" applyNumberFormat="1" applyFont="1" applyAlignment="1">
      <alignment horizontal="right"/>
    </xf>
    <xf numFmtId="166" fontId="2" fillId="0" borderId="0" xfId="0" applyNumberFormat="1" applyFont="1"/>
    <xf numFmtId="3" fontId="2" fillId="0" borderId="0" xfId="0" applyNumberFormat="1" applyFont="1" applyAlignment="1">
      <alignment horizontal="right"/>
    </xf>
    <xf numFmtId="0" fontId="3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167" fontId="2" fillId="0" borderId="5" xfId="0" applyNumberFormat="1" applyFont="1" applyBorder="1" applyAlignment="1">
      <alignment horizontal="right"/>
    </xf>
    <xf numFmtId="0" fontId="2" fillId="0" borderId="5" xfId="0" applyFont="1" applyBorder="1"/>
    <xf numFmtId="0" fontId="2" fillId="0" borderId="2" xfId="0" applyFont="1" applyBorder="1" applyAlignment="1">
      <alignment horizontal="right"/>
    </xf>
    <xf numFmtId="9" fontId="2" fillId="0" borderId="5" xfId="0" applyNumberFormat="1" applyFont="1" applyBorder="1" applyAlignment="1">
      <alignment horizontal="right"/>
    </xf>
    <xf numFmtId="3" fontId="2" fillId="0" borderId="5" xfId="0" applyNumberFormat="1" applyFont="1" applyBorder="1" applyAlignment="1">
      <alignment horizontal="right"/>
    </xf>
    <xf numFmtId="0" fontId="5" fillId="0" borderId="0" xfId="0" applyFont="1"/>
    <xf numFmtId="0" fontId="2" fillId="0" borderId="0" xfId="0" applyFont="1" applyAlignment="1">
      <alignment wrapText="1"/>
    </xf>
    <xf numFmtId="0" fontId="3" fillId="0" borderId="3" xfId="0" applyFont="1" applyBorder="1" applyAlignment="1">
      <alignment horizontal="left" vertical="top" wrapText="1"/>
    </xf>
    <xf numFmtId="3" fontId="3" fillId="0" borderId="3" xfId="0" applyNumberFormat="1" applyFont="1" applyBorder="1" applyAlignment="1">
      <alignment horizontal="left" vertical="top" wrapText="1"/>
    </xf>
    <xf numFmtId="3" fontId="0" fillId="0" borderId="0" xfId="0" applyNumberFormat="1"/>
    <xf numFmtId="3" fontId="2" fillId="0" borderId="1" xfId="0" applyNumberFormat="1" applyFont="1" applyBorder="1" applyAlignment="1">
      <alignment horizontal="right"/>
    </xf>
    <xf numFmtId="0" fontId="2" fillId="0" borderId="7" xfId="0" applyFont="1" applyBorder="1" applyAlignment="1">
      <alignment wrapText="1"/>
    </xf>
    <xf numFmtId="3" fontId="2" fillId="0" borderId="6" xfId="0" applyNumberFormat="1" applyFont="1" applyBorder="1" applyAlignment="1">
      <alignment horizontal="right"/>
    </xf>
    <xf numFmtId="49" fontId="2" fillId="0" borderId="0" xfId="0" applyNumberFormat="1" applyFont="1" applyAlignment="1">
      <alignment wrapText="1"/>
    </xf>
    <xf numFmtId="49" fontId="0" fillId="0" borderId="0" xfId="0" applyNumberFormat="1" applyAlignment="1">
      <alignment wrapText="1"/>
    </xf>
    <xf numFmtId="3" fontId="10" fillId="0" borderId="0" xfId="0" applyNumberFormat="1" applyFont="1"/>
    <xf numFmtId="0" fontId="7" fillId="3" borderId="7" xfId="0" applyFont="1" applyFill="1" applyBorder="1"/>
    <xf numFmtId="3" fontId="7" fillId="3" borderId="7" xfId="0" applyNumberFormat="1" applyFont="1" applyFill="1" applyBorder="1"/>
    <xf numFmtId="49" fontId="0" fillId="0" borderId="0" xfId="0" applyNumberFormat="1"/>
    <xf numFmtId="49" fontId="2" fillId="0" borderId="0" xfId="0" applyNumberFormat="1" applyFont="1"/>
    <xf numFmtId="49" fontId="3" fillId="0" borderId="3" xfId="0" applyNumberFormat="1" applyFont="1" applyBorder="1" applyAlignment="1">
      <alignment horizontal="center" vertical="center" wrapText="1"/>
    </xf>
    <xf numFmtId="0" fontId="0" fillId="0" borderId="1" xfId="0" applyBorder="1"/>
    <xf numFmtId="0" fontId="11" fillId="0" borderId="0" xfId="0" applyFont="1"/>
    <xf numFmtId="0" fontId="9" fillId="0" borderId="0" xfId="0" applyFont="1"/>
    <xf numFmtId="4" fontId="2" fillId="0" borderId="6" xfId="0" applyNumberFormat="1" applyFont="1" applyBorder="1" applyAlignment="1">
      <alignment horizontal="right"/>
    </xf>
    <xf numFmtId="166" fontId="2" fillId="0" borderId="0" xfId="1" applyNumberFormat="1" applyFont="1"/>
    <xf numFmtId="9" fontId="2" fillId="0" borderId="0" xfId="1" applyFont="1"/>
    <xf numFmtId="9" fontId="0" fillId="0" borderId="0" xfId="0" applyNumberFormat="1"/>
    <xf numFmtId="0" fontId="12" fillId="0" borderId="3" xfId="0" applyFont="1" applyBorder="1" applyAlignment="1">
      <alignment horizontal="center" vertical="center" wrapText="1"/>
    </xf>
    <xf numFmtId="3" fontId="13" fillId="0" borderId="0" xfId="0" applyNumberFormat="1" applyFont="1"/>
    <xf numFmtId="4" fontId="2" fillId="0" borderId="5" xfId="0" applyNumberFormat="1" applyFont="1" applyBorder="1" applyAlignment="1">
      <alignment horizontal="right"/>
    </xf>
    <xf numFmtId="4" fontId="3" fillId="0" borderId="2" xfId="0" applyNumberFormat="1" applyFont="1" applyBorder="1" applyAlignment="1">
      <alignment horizontal="right"/>
    </xf>
    <xf numFmtId="3" fontId="3" fillId="2" borderId="1" xfId="0" applyNumberFormat="1" applyFont="1" applyFill="1" applyBorder="1" applyAlignment="1">
      <alignment horizontal="right"/>
    </xf>
    <xf numFmtId="168" fontId="2" fillId="0" borderId="0" xfId="0" applyNumberFormat="1" applyFont="1"/>
    <xf numFmtId="0" fontId="0" fillId="0" borderId="0" xfId="0" applyAlignment="1">
      <alignment horizontal="right"/>
    </xf>
    <xf numFmtId="168" fontId="2" fillId="0" borderId="5" xfId="0" applyNumberFormat="1" applyFont="1" applyBorder="1" applyAlignment="1">
      <alignment horizontal="right"/>
    </xf>
    <xf numFmtId="168" fontId="0" fillId="0" borderId="0" xfId="0" applyNumberFormat="1"/>
    <xf numFmtId="9" fontId="7" fillId="3" borderId="7" xfId="1" applyFont="1" applyFill="1" applyBorder="1" applyAlignment="1"/>
    <xf numFmtId="167" fontId="2" fillId="0" borderId="8" xfId="0" applyNumberFormat="1" applyFont="1" applyBorder="1" applyAlignment="1">
      <alignment horizontal="right"/>
    </xf>
    <xf numFmtId="168" fontId="0" fillId="0" borderId="1" xfId="0" applyNumberFormat="1" applyBorder="1"/>
    <xf numFmtId="9" fontId="6" fillId="0" borderId="6" xfId="0" applyNumberFormat="1" applyFont="1" applyBorder="1" applyAlignment="1">
      <alignment horizontal="right"/>
    </xf>
    <xf numFmtId="9" fontId="2" fillId="0" borderId="6" xfId="0" applyNumberFormat="1" applyFont="1" applyBorder="1" applyAlignment="1">
      <alignment horizontal="right"/>
    </xf>
    <xf numFmtId="0" fontId="7" fillId="0" borderId="0" xfId="0" applyFont="1"/>
    <xf numFmtId="49" fontId="7" fillId="0" borderId="0" xfId="0" applyNumberFormat="1" applyFont="1"/>
    <xf numFmtId="169" fontId="0" fillId="0" borderId="0" xfId="0" applyNumberFormat="1"/>
    <xf numFmtId="0" fontId="2" fillId="0" borderId="1" xfId="0" applyFont="1" applyBorder="1" applyAlignment="1">
      <alignment wrapText="1"/>
    </xf>
    <xf numFmtId="0" fontId="0" fillId="0" borderId="0" xfId="0" quotePrefix="1"/>
    <xf numFmtId="165" fontId="2" fillId="0" borderId="1" xfId="0" applyNumberFormat="1" applyFont="1" applyBorder="1" applyAlignment="1">
      <alignment horizontal="left" vertical="top" wrapText="1"/>
    </xf>
    <xf numFmtId="0" fontId="7" fillId="0" borderId="1" xfId="0" applyFont="1" applyBorder="1"/>
    <xf numFmtId="0" fontId="14" fillId="0" borderId="0" xfId="0" applyFont="1"/>
    <xf numFmtId="0" fontId="14" fillId="0" borderId="1" xfId="0" applyFont="1" applyBorder="1"/>
    <xf numFmtId="9" fontId="6" fillId="0" borderId="0" xfId="1" applyFont="1"/>
    <xf numFmtId="0" fontId="11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67" fontId="3" fillId="0" borderId="5" xfId="0" applyNumberFormat="1" applyFont="1" applyBorder="1" applyAlignment="1">
      <alignment horizontal="right"/>
    </xf>
    <xf numFmtId="170" fontId="0" fillId="0" borderId="0" xfId="0" applyNumberFormat="1"/>
    <xf numFmtId="4" fontId="0" fillId="0" borderId="0" xfId="0" applyNumberFormat="1"/>
    <xf numFmtId="171" fontId="2" fillId="0" borderId="7" xfId="0" applyNumberFormat="1" applyFont="1" applyBorder="1" applyAlignment="1">
      <alignment horizontal="left" vertical="top" wrapText="1"/>
    </xf>
    <xf numFmtId="171" fontId="2" fillId="0" borderId="1" xfId="0" applyNumberFormat="1" applyFont="1" applyBorder="1" applyAlignment="1">
      <alignment horizontal="left" vertical="top" wrapText="1"/>
    </xf>
    <xf numFmtId="0" fontId="2" fillId="0" borderId="9" xfId="0" applyFont="1" applyBorder="1" applyAlignment="1">
      <alignment wrapText="1"/>
    </xf>
    <xf numFmtId="173" fontId="0" fillId="0" borderId="0" xfId="0" applyNumberFormat="1"/>
    <xf numFmtId="3" fontId="3" fillId="0" borderId="1" xfId="0" applyNumberFormat="1" applyFont="1" applyBorder="1"/>
    <xf numFmtId="3" fontId="3" fillId="0" borderId="1" xfId="0" applyNumberFormat="1" applyFont="1" applyBorder="1" applyAlignment="1">
      <alignment horizontal="right"/>
    </xf>
    <xf numFmtId="172" fontId="2" fillId="0" borderId="5" xfId="0" applyNumberFormat="1" applyFont="1" applyBorder="1" applyAlignment="1">
      <alignment horizontal="right" vertical="center"/>
    </xf>
    <xf numFmtId="49" fontId="7" fillId="0" borderId="0" xfId="0" applyNumberFormat="1" applyFont="1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167" fontId="2" fillId="0" borderId="5" xfId="0" applyNumberFormat="1" applyFont="1" applyBorder="1" applyAlignment="1">
      <alignment horizontal="right" vertical="center"/>
    </xf>
    <xf numFmtId="167" fontId="2" fillId="0" borderId="8" xfId="0" applyNumberFormat="1" applyFont="1" applyBorder="1" applyAlignment="1">
      <alignment horizontal="right" vertical="center"/>
    </xf>
    <xf numFmtId="3" fontId="11" fillId="0" borderId="0" xfId="0" applyNumberFormat="1" applyFont="1"/>
    <xf numFmtId="10" fontId="0" fillId="0" borderId="0" xfId="0" applyNumberFormat="1"/>
    <xf numFmtId="170" fontId="11" fillId="0" borderId="0" xfId="0" applyNumberFormat="1" applyFont="1" applyAlignment="1">
      <alignment wrapText="1"/>
    </xf>
    <xf numFmtId="3" fontId="11" fillId="0" borderId="0" xfId="0" applyNumberFormat="1" applyFont="1" applyAlignment="1">
      <alignment wrapText="1"/>
    </xf>
    <xf numFmtId="173" fontId="11" fillId="0" borderId="0" xfId="0" applyNumberFormat="1" applyFont="1" applyAlignment="1">
      <alignment wrapText="1"/>
    </xf>
    <xf numFmtId="4" fontId="11" fillId="0" borderId="0" xfId="0" applyNumberFormat="1" applyFont="1" applyAlignment="1">
      <alignment wrapText="1"/>
    </xf>
    <xf numFmtId="10" fontId="11" fillId="0" borderId="0" xfId="0" applyNumberFormat="1" applyFont="1" applyAlignment="1">
      <alignment wrapText="1"/>
    </xf>
    <xf numFmtId="0" fontId="11" fillId="0" borderId="0" xfId="0" applyFont="1" applyAlignment="1">
      <alignment wrapText="1"/>
    </xf>
    <xf numFmtId="0" fontId="0" fillId="0" borderId="0" xfId="0" applyAlignment="1">
      <alignment wrapText="1"/>
    </xf>
    <xf numFmtId="3" fontId="3" fillId="0" borderId="0" xfId="0" applyNumberFormat="1" applyFont="1" applyAlignment="1">
      <alignment horizontal="right"/>
    </xf>
    <xf numFmtId="3" fontId="3" fillId="0" borderId="0" xfId="0" applyNumberFormat="1" applyFont="1" applyAlignment="1">
      <alignment horizontal="right" vertical="center" indent="1"/>
    </xf>
    <xf numFmtId="0" fontId="7" fillId="0" borderId="1" xfId="2"/>
    <xf numFmtId="0" fontId="11" fillId="0" borderId="1" xfId="2" applyFont="1"/>
    <xf numFmtId="49" fontId="11" fillId="0" borderId="0" xfId="0" applyNumberFormat="1" applyFont="1" applyAlignment="1">
      <alignment wrapText="1"/>
    </xf>
    <xf numFmtId="170" fontId="2" fillId="4" borderId="5" xfId="2" applyNumberFormat="1" applyFont="1" applyFill="1" applyBorder="1" applyAlignment="1">
      <alignment horizontal="right"/>
    </xf>
    <xf numFmtId="0" fontId="14" fillId="0" borderId="1" xfId="2" applyFont="1"/>
    <xf numFmtId="9" fontId="7" fillId="0" borderId="1" xfId="2" applyNumberFormat="1"/>
    <xf numFmtId="3" fontId="7" fillId="0" borderId="0" xfId="0" applyNumberFormat="1" applyFont="1"/>
    <xf numFmtId="0" fontId="3" fillId="0" borderId="10" xfId="0" applyFont="1" applyBorder="1" applyAlignment="1">
      <alignment horizontal="left" vertical="top" wrapText="1"/>
    </xf>
    <xf numFmtId="3" fontId="3" fillId="0" borderId="10" xfId="0" applyNumberFormat="1" applyFont="1" applyBorder="1" applyAlignment="1">
      <alignment horizontal="left" vertical="top" wrapText="1"/>
    </xf>
    <xf numFmtId="49" fontId="3" fillId="0" borderId="10" xfId="0" applyNumberFormat="1" applyFont="1" applyBorder="1" applyAlignment="1">
      <alignment horizontal="left" vertical="top" wrapText="1"/>
    </xf>
    <xf numFmtId="0" fontId="11" fillId="0" borderId="1" xfId="0" applyFont="1" applyBorder="1"/>
    <xf numFmtId="49" fontId="2" fillId="0" borderId="7" xfId="0" applyNumberFormat="1" applyFont="1" applyBorder="1" applyAlignment="1">
      <alignment wrapText="1"/>
    </xf>
    <xf numFmtId="0" fontId="0" fillId="0" borderId="7" xfId="0" applyBorder="1"/>
    <xf numFmtId="49" fontId="7" fillId="0" borderId="7" xfId="0" applyNumberFormat="1" applyFont="1" applyBorder="1" applyAlignment="1">
      <alignment wrapText="1"/>
    </xf>
    <xf numFmtId="0" fontId="7" fillId="0" borderId="7" xfId="0" applyFont="1" applyBorder="1"/>
    <xf numFmtId="9" fontId="11" fillId="0" borderId="0" xfId="0" applyNumberFormat="1" applyFont="1"/>
    <xf numFmtId="3" fontId="2" fillId="0" borderId="0" xfId="0" applyNumberFormat="1" applyFont="1" applyAlignment="1">
      <alignment horizontal="right" vertical="center" indent="1"/>
    </xf>
    <xf numFmtId="9" fontId="2" fillId="0" borderId="0" xfId="1" applyFont="1" applyAlignment="1">
      <alignment horizontal="right"/>
    </xf>
    <xf numFmtId="166" fontId="3" fillId="0" borderId="1" xfId="0" applyNumberFormat="1" applyFont="1" applyBorder="1" applyAlignment="1">
      <alignment horizontal="right"/>
    </xf>
    <xf numFmtId="0" fontId="22" fillId="0" borderId="0" xfId="0" applyFont="1"/>
    <xf numFmtId="175" fontId="0" fillId="0" borderId="0" xfId="0" applyNumberFormat="1"/>
    <xf numFmtId="3" fontId="2" fillId="5" borderId="0" xfId="0" applyNumberFormat="1" applyFont="1" applyFill="1"/>
    <xf numFmtId="3" fontId="20" fillId="6" borderId="1" xfId="0" applyNumberFormat="1" applyFont="1" applyFill="1" applyBorder="1"/>
    <xf numFmtId="3" fontId="3" fillId="6" borderId="1" xfId="0" applyNumberFormat="1" applyFont="1" applyFill="1" applyBorder="1" applyAlignment="1">
      <alignment horizontal="right"/>
    </xf>
    <xf numFmtId="3" fontId="3" fillId="0" borderId="0" xfId="0" applyNumberFormat="1" applyFont="1" applyAlignment="1">
      <alignment horizontal="right" vertical="center"/>
    </xf>
    <xf numFmtId="0" fontId="6" fillId="0" borderId="0" xfId="3" applyFont="1"/>
    <xf numFmtId="176" fontId="0" fillId="0" borderId="0" xfId="0" applyNumberFormat="1"/>
    <xf numFmtId="171" fontId="2" fillId="4" borderId="5" xfId="0" applyNumberFormat="1" applyFont="1" applyFill="1" applyBorder="1" applyAlignment="1">
      <alignment horizontal="right"/>
    </xf>
    <xf numFmtId="9" fontId="11" fillId="0" borderId="0" xfId="1" applyFont="1"/>
    <xf numFmtId="49" fontId="23" fillId="0" borderId="0" xfId="0" applyNumberFormat="1" applyFont="1" applyAlignment="1">
      <alignment horizontal="left"/>
    </xf>
    <xf numFmtId="4" fontId="7" fillId="0" borderId="0" xfId="0" applyNumberFormat="1" applyFont="1" applyAlignment="1">
      <alignment horizontal="right" vertical="center"/>
    </xf>
    <xf numFmtId="0" fontId="24" fillId="0" borderId="0" xfId="0" applyFont="1"/>
    <xf numFmtId="0" fontId="7" fillId="0" borderId="11" xfId="0" applyFont="1" applyBorder="1"/>
    <xf numFmtId="0" fontId="0" fillId="0" borderId="12" xfId="0" applyBorder="1"/>
    <xf numFmtId="0" fontId="0" fillId="0" borderId="13" xfId="0" applyBorder="1"/>
    <xf numFmtId="0" fontId="7" fillId="0" borderId="14" xfId="0" applyFont="1" applyBorder="1"/>
    <xf numFmtId="0" fontId="0" fillId="0" borderId="15" xfId="0" applyBorder="1"/>
    <xf numFmtId="0" fontId="7" fillId="0" borderId="16" xfId="0" applyFont="1" applyBorder="1"/>
    <xf numFmtId="0" fontId="0" fillId="0" borderId="17" xfId="0" applyBorder="1"/>
    <xf numFmtId="0" fontId="0" fillId="0" borderId="18" xfId="0" applyBorder="1"/>
    <xf numFmtId="3" fontId="15" fillId="0" borderId="6" xfId="0" applyNumberFormat="1" applyFont="1" applyBorder="1" applyAlignment="1">
      <alignment horizontal="right" vertical="center"/>
    </xf>
    <xf numFmtId="166" fontId="15" fillId="0" borderId="1" xfId="0" applyNumberFormat="1" applyFont="1" applyBorder="1" applyAlignment="1">
      <alignment horizontal="right" vertical="center"/>
    </xf>
    <xf numFmtId="3" fontId="7" fillId="0" borderId="0" xfId="0" applyNumberFormat="1" applyFont="1" applyAlignment="1">
      <alignment horizontal="right" vertical="center"/>
    </xf>
    <xf numFmtId="174" fontId="0" fillId="0" borderId="0" xfId="0" applyNumberFormat="1"/>
    <xf numFmtId="4" fontId="7" fillId="0" borderId="1" xfId="0" applyNumberFormat="1" applyFont="1" applyBorder="1"/>
    <xf numFmtId="3" fontId="15" fillId="0" borderId="5" xfId="0" applyNumberFormat="1" applyFont="1" applyBorder="1" applyAlignment="1">
      <alignment horizontal="right" vertical="center"/>
    </xf>
    <xf numFmtId="4" fontId="7" fillId="0" borderId="1" xfId="0" applyNumberFormat="1" applyFont="1" applyBorder="1" applyAlignment="1">
      <alignment horizontal="right" vertical="center"/>
    </xf>
    <xf numFmtId="4" fontId="2" fillId="0" borderId="1" xfId="0" applyNumberFormat="1" applyFont="1" applyBorder="1" applyAlignment="1">
      <alignment horizontal="right" vertical="center"/>
    </xf>
    <xf numFmtId="4" fontId="7" fillId="0" borderId="0" xfId="0" applyNumberFormat="1" applyFont="1"/>
    <xf numFmtId="174" fontId="7" fillId="0" borderId="5" xfId="0" applyNumberFormat="1" applyFont="1" applyBorder="1" applyAlignment="1">
      <alignment horizontal="right" vertical="center"/>
    </xf>
    <xf numFmtId="174" fontId="7" fillId="0" borderId="1" xfId="0" applyNumberFormat="1" applyFont="1" applyBorder="1" applyAlignment="1">
      <alignment horizontal="right" vertical="center"/>
    </xf>
    <xf numFmtId="4" fontId="7" fillId="0" borderId="6" xfId="0" applyNumberFormat="1" applyFont="1" applyBorder="1" applyAlignment="1">
      <alignment horizontal="right" vertical="center"/>
    </xf>
    <xf numFmtId="3" fontId="7" fillId="0" borderId="1" xfId="0" applyNumberFormat="1" applyFont="1" applyBorder="1" applyAlignment="1">
      <alignment horizontal="right" vertical="center"/>
    </xf>
    <xf numFmtId="166" fontId="7" fillId="0" borderId="1" xfId="0" applyNumberFormat="1" applyFont="1" applyBorder="1" applyAlignment="1">
      <alignment horizontal="right" vertical="center"/>
    </xf>
    <xf numFmtId="166" fontId="7" fillId="0" borderId="0" xfId="0" applyNumberFormat="1" applyFont="1"/>
    <xf numFmtId="0" fontId="7" fillId="0" borderId="5" xfId="0" applyFont="1" applyBorder="1" applyAlignment="1">
      <alignment horizontal="right" vertical="center"/>
    </xf>
    <xf numFmtId="3" fontId="14" fillId="0" borderId="0" xfId="0" applyNumberFormat="1" applyFont="1"/>
    <xf numFmtId="166" fontId="14" fillId="0" borderId="0" xfId="0" applyNumberFormat="1" applyFont="1"/>
    <xf numFmtId="4" fontId="0" fillId="0" borderId="0" xfId="0" applyNumberFormat="1" applyAlignment="1">
      <alignment horizontal="right" vertical="center"/>
    </xf>
    <xf numFmtId="3" fontId="3" fillId="7" borderId="1" xfId="0" applyNumberFormat="1" applyFont="1" applyFill="1" applyBorder="1" applyAlignment="1">
      <alignment horizontal="left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3" fontId="7" fillId="0" borderId="0" xfId="0" applyNumberFormat="1" applyFont="1"/>
    <xf numFmtId="3" fontId="11" fillId="0" borderId="0" xfId="0" applyNumberFormat="1" applyFont="1"/>
    <xf numFmtId="3" fontId="23" fillId="0" borderId="0" xfId="0" applyNumberFormat="1" applyFont="1"/>
    <xf numFmtId="0" fontId="7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167" fontId="2" fillId="0" borderId="0" xfId="0" applyNumberFormat="1" applyFont="1" applyBorder="1" applyAlignment="1">
      <alignment horizontal="right" vertical="center"/>
    </xf>
    <xf numFmtId="172" fontId="7" fillId="0" borderId="8" xfId="0" applyNumberFormat="1" applyFont="1" applyBorder="1" applyAlignment="1">
      <alignment horizontal="right" vertical="center"/>
    </xf>
    <xf numFmtId="174" fontId="7" fillId="0" borderId="0" xfId="0" applyNumberFormat="1" applyFont="1" applyBorder="1" applyAlignment="1">
      <alignment horizontal="right" vertical="center"/>
    </xf>
    <xf numFmtId="174" fontId="2" fillId="0" borderId="0" xfId="0" applyNumberFormat="1" applyFont="1" applyBorder="1" applyAlignment="1">
      <alignment horizontal="right" vertical="center"/>
    </xf>
    <xf numFmtId="3" fontId="7" fillId="0" borderId="0" xfId="0" applyNumberFormat="1" applyFont="1" applyBorder="1" applyAlignment="1">
      <alignment horizontal="right" vertical="center"/>
    </xf>
    <xf numFmtId="4" fontId="7" fillId="0" borderId="0" xfId="0" applyNumberFormat="1" applyFont="1" applyBorder="1" applyAlignment="1">
      <alignment horizontal="right" vertical="center"/>
    </xf>
    <xf numFmtId="4" fontId="2" fillId="0" borderId="0" xfId="0" applyNumberFormat="1" applyFont="1" applyBorder="1" applyAlignment="1">
      <alignment horizontal="right" vertical="center"/>
    </xf>
    <xf numFmtId="3" fontId="0" fillId="0" borderId="0" xfId="0" applyNumberFormat="1" applyBorder="1" applyAlignment="1">
      <alignment horizontal="right" vertical="center"/>
    </xf>
    <xf numFmtId="3" fontId="2" fillId="0" borderId="0" xfId="0" applyNumberFormat="1" applyFont="1" applyBorder="1" applyAlignment="1">
      <alignment horizontal="right" vertical="center"/>
    </xf>
    <xf numFmtId="166" fontId="7" fillId="0" borderId="0" xfId="0" applyNumberFormat="1" applyFont="1" applyBorder="1" applyAlignment="1">
      <alignment horizontal="right" vertical="center"/>
    </xf>
    <xf numFmtId="166" fontId="2" fillId="0" borderId="0" xfId="0" applyNumberFormat="1" applyFont="1" applyBorder="1" applyAlignment="1">
      <alignment horizontal="right" vertical="center"/>
    </xf>
    <xf numFmtId="3" fontId="15" fillId="0" borderId="0" xfId="0" applyNumberFormat="1" applyFont="1" applyBorder="1" applyAlignment="1">
      <alignment horizontal="right" vertical="center"/>
    </xf>
    <xf numFmtId="3" fontId="18" fillId="0" borderId="0" xfId="0" applyNumberFormat="1" applyFont="1" applyBorder="1" applyAlignment="1">
      <alignment horizontal="right" vertical="center"/>
    </xf>
    <xf numFmtId="166" fontId="15" fillId="0" borderId="0" xfId="0" applyNumberFormat="1" applyFont="1" applyBorder="1" applyAlignment="1">
      <alignment horizontal="right" vertical="center"/>
    </xf>
    <xf numFmtId="166" fontId="18" fillId="0" borderId="0" xfId="0" applyNumberFormat="1" applyFont="1" applyBorder="1" applyAlignment="1">
      <alignment horizontal="right" vertical="center"/>
    </xf>
    <xf numFmtId="0" fontId="7" fillId="0" borderId="0" xfId="0" applyNumberFormat="1" applyFont="1"/>
    <xf numFmtId="0" fontId="7" fillId="0" borderId="0" xfId="0" applyNumberFormat="1" applyFont="1" applyAlignment="1">
      <alignment horizontal="right" vertical="center"/>
    </xf>
    <xf numFmtId="0" fontId="0" fillId="0" borderId="0" xfId="0" applyNumberFormat="1" applyAlignment="1">
      <alignment horizontal="right" vertical="center"/>
    </xf>
    <xf numFmtId="0" fontId="0" fillId="0" borderId="0" xfId="0" applyNumberFormat="1" applyBorder="1" applyAlignment="1">
      <alignment horizontal="right" vertical="center"/>
    </xf>
    <xf numFmtId="0" fontId="7" fillId="0" borderId="0" xfId="0" applyNumberFormat="1" applyFont="1" applyBorder="1" applyAlignment="1">
      <alignment horizontal="right" vertical="center"/>
    </xf>
    <xf numFmtId="174" fontId="7" fillId="0" borderId="0" xfId="0" applyNumberFormat="1" applyFont="1" applyBorder="1"/>
    <xf numFmtId="3" fontId="7" fillId="0" borderId="0" xfId="0" applyNumberFormat="1" applyFont="1" applyBorder="1"/>
    <xf numFmtId="4" fontId="7" fillId="0" borderId="0" xfId="0" applyNumberFormat="1" applyFont="1" applyBorder="1"/>
    <xf numFmtId="0" fontId="7" fillId="0" borderId="1" xfId="0" applyNumberFormat="1" applyFont="1" applyBorder="1" applyAlignment="1">
      <alignment horizontal="right" vertical="center"/>
    </xf>
    <xf numFmtId="0" fontId="7" fillId="0" borderId="0" xfId="0" applyNumberFormat="1" applyFont="1" applyBorder="1"/>
    <xf numFmtId="3" fontId="7" fillId="0" borderId="5" xfId="0" applyNumberFormat="1" applyFont="1" applyBorder="1" applyAlignment="1">
      <alignment horizontal="right" vertical="center"/>
    </xf>
    <xf numFmtId="166" fontId="7" fillId="0" borderId="0" xfId="0" applyNumberFormat="1" applyFont="1" applyBorder="1"/>
    <xf numFmtId="166" fontId="7" fillId="0" borderId="5" xfId="0" applyNumberFormat="1" applyFont="1" applyBorder="1" applyAlignment="1">
      <alignment horizontal="right" vertical="center"/>
    </xf>
    <xf numFmtId="3" fontId="15" fillId="0" borderId="0" xfId="0" applyNumberFormat="1" applyFont="1" applyBorder="1"/>
    <xf numFmtId="3" fontId="18" fillId="0" borderId="0" xfId="0" applyNumberFormat="1" applyFont="1" applyBorder="1"/>
    <xf numFmtId="166" fontId="15" fillId="0" borderId="0" xfId="0" applyNumberFormat="1" applyFont="1" applyBorder="1"/>
    <xf numFmtId="166" fontId="18" fillId="0" borderId="0" xfId="0" applyNumberFormat="1" applyFont="1" applyBorder="1"/>
    <xf numFmtId="167" fontId="2" fillId="0" borderId="0" xfId="0" applyNumberFormat="1" applyFont="1" applyBorder="1" applyAlignment="1">
      <alignment horizontal="right"/>
    </xf>
    <xf numFmtId="174" fontId="2" fillId="0" borderId="0" xfId="0" applyNumberFormat="1" applyFont="1" applyBorder="1" applyAlignment="1">
      <alignment horizontal="right" vertical="center" wrapText="1"/>
    </xf>
  </cellXfs>
  <cellStyles count="4">
    <cellStyle name="Hyperlink" xfId="3" builtinId="8"/>
    <cellStyle name="Normal" xfId="0" builtinId="0"/>
    <cellStyle name="Normal 2" xfId="2" xr:uid="{658D3405-6236-4782-B77B-CE98E3D78B88}"/>
    <cellStyle name="Percent" xfId="1" builtinId="5"/>
  </cellStyles>
  <dxfs count="4">
    <dxf>
      <font>
        <color rgb="FFFF0000"/>
      </font>
      <fill>
        <patternFill patternType="none"/>
      </fill>
    </dxf>
    <dxf>
      <font>
        <color theme="7"/>
      </font>
      <fill>
        <patternFill patternType="none"/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DCEF6D"/>
      <color rgb="FFDEE9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PnL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-194</c:v>
              </c:pt>
              <c:pt idx="5">
                <c:v>-172</c:v>
              </c:pt>
              <c:pt idx="6">
                <c:v>-19</c:v>
              </c:pt>
              <c:pt idx="7">
                <c:v>25</c:v>
              </c:pt>
              <c:pt idx="8">
                <c:v>155</c:v>
              </c:pt>
              <c:pt idx="9">
                <c:v>1058</c:v>
              </c:pt>
              <c:pt idx="10">
                <c:v>1032</c:v>
              </c:pt>
              <c:pt idx="11">
                <c:v>1041</c:v>
              </c:pt>
              <c:pt idx="12">
                <c:v>1137</c:v>
              </c:pt>
              <c:pt idx="13">
                <c:v>1057</c:v>
              </c:pt>
              <c:pt idx="14">
                <c:v>1040</c:v>
              </c:pt>
              <c:pt idx="15">
                <c:v>1053</c:v>
              </c:pt>
              <c:pt idx="16">
                <c:v>1085</c:v>
              </c:pt>
              <c:pt idx="17">
                <c:v>1017</c:v>
              </c:pt>
              <c:pt idx="18">
                <c:v>888</c:v>
              </c:pt>
              <c:pt idx="19">
                <c:v>971</c:v>
              </c:pt>
              <c:pt idx="20">
                <c:v>885</c:v>
              </c:pt>
              <c:pt idx="21">
                <c:v>1080</c:v>
              </c:pt>
              <c:pt idx="22">
                <c:v>1049</c:v>
              </c:pt>
              <c:pt idx="23">
                <c:v>962</c:v>
              </c:pt>
              <c:pt idx="24">
                <c:v>776</c:v>
              </c:pt>
              <c:pt idx="25">
                <c:v>866</c:v>
              </c:pt>
              <c:pt idx="26">
                <c:v>846</c:v>
              </c:pt>
              <c:pt idx="27">
                <c:v>909</c:v>
              </c:pt>
              <c:pt idx="28">
                <c:v>970</c:v>
              </c:pt>
              <c:pt idx="29">
                <c:v>985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AD3-4FF3-81E0-530B0A7A9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4102896"/>
        <c:axId val="734103856"/>
      </c:lineChart>
      <c:dateAx>
        <c:axId val="734102896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734103856"/>
        <c:crosses val="min"/>
        <c:auto val="0"/>
        <c:lblOffset val="100"/>
        <c:baseTimeUnit val="days"/>
      </c:dateAx>
      <c:valAx>
        <c:axId val="73410385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73410289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NAV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5000</c:v>
              </c:pt>
              <c:pt idx="1">
                <c:v>5000</c:v>
              </c:pt>
              <c:pt idx="2">
                <c:v>5000</c:v>
              </c:pt>
              <c:pt idx="3">
                <c:v>5000</c:v>
              </c:pt>
              <c:pt idx="4">
                <c:v>4806</c:v>
              </c:pt>
              <c:pt idx="5">
                <c:v>4828</c:v>
              </c:pt>
              <c:pt idx="6">
                <c:v>4981</c:v>
              </c:pt>
              <c:pt idx="7">
                <c:v>5025</c:v>
              </c:pt>
              <c:pt idx="8">
                <c:v>5155</c:v>
              </c:pt>
              <c:pt idx="9">
                <c:v>6058</c:v>
              </c:pt>
              <c:pt idx="10">
                <c:v>6032</c:v>
              </c:pt>
              <c:pt idx="11">
                <c:v>6041</c:v>
              </c:pt>
              <c:pt idx="12">
                <c:v>6137</c:v>
              </c:pt>
              <c:pt idx="13">
                <c:v>6057</c:v>
              </c:pt>
              <c:pt idx="14">
                <c:v>6040</c:v>
              </c:pt>
              <c:pt idx="15">
                <c:v>6053</c:v>
              </c:pt>
              <c:pt idx="16">
                <c:v>6085</c:v>
              </c:pt>
              <c:pt idx="17">
                <c:v>6017</c:v>
              </c:pt>
              <c:pt idx="18">
                <c:v>5888</c:v>
              </c:pt>
              <c:pt idx="19">
                <c:v>5971</c:v>
              </c:pt>
              <c:pt idx="20">
                <c:v>5885</c:v>
              </c:pt>
              <c:pt idx="21">
                <c:v>6080</c:v>
              </c:pt>
              <c:pt idx="22">
                <c:v>6049</c:v>
              </c:pt>
              <c:pt idx="23">
                <c:v>5962</c:v>
              </c:pt>
              <c:pt idx="24">
                <c:v>5776</c:v>
              </c:pt>
              <c:pt idx="25">
                <c:v>5866</c:v>
              </c:pt>
              <c:pt idx="26">
                <c:v>5846</c:v>
              </c:pt>
              <c:pt idx="27">
                <c:v>5909</c:v>
              </c:pt>
              <c:pt idx="28">
                <c:v>5970</c:v>
              </c:pt>
              <c:pt idx="29">
                <c:v>5985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A239-474D-A12E-71AF4DACD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2971952"/>
        <c:axId val="2092972432"/>
      </c:lineChart>
      <c:dateAx>
        <c:axId val="2092971952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92972432"/>
        <c:crosses val="autoZero"/>
        <c:auto val="0"/>
        <c:lblOffset val="100"/>
        <c:baseTimeUnit val="days"/>
      </c:dateAx>
      <c:valAx>
        <c:axId val="20929724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929719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Deposit &amp; Withdraw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Deposit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5000</c:v>
              </c:pt>
              <c:pt idx="1">
                <c:v>5000</c:v>
              </c:pt>
              <c:pt idx="2">
                <c:v>5000</c:v>
              </c:pt>
              <c:pt idx="3">
                <c:v>5000</c:v>
              </c:pt>
              <c:pt idx="4">
                <c:v>5000</c:v>
              </c:pt>
              <c:pt idx="5">
                <c:v>5000</c:v>
              </c:pt>
              <c:pt idx="6">
                <c:v>5000</c:v>
              </c:pt>
              <c:pt idx="7">
                <c:v>5000</c:v>
              </c:pt>
              <c:pt idx="8">
                <c:v>5000</c:v>
              </c:pt>
              <c:pt idx="9">
                <c:v>5000</c:v>
              </c:pt>
              <c:pt idx="10">
                <c:v>5000</c:v>
              </c:pt>
              <c:pt idx="11">
                <c:v>5000</c:v>
              </c:pt>
              <c:pt idx="12">
                <c:v>5000</c:v>
              </c:pt>
              <c:pt idx="13">
                <c:v>5000</c:v>
              </c:pt>
              <c:pt idx="14">
                <c:v>5000</c:v>
              </c:pt>
              <c:pt idx="15">
                <c:v>5000</c:v>
              </c:pt>
              <c:pt idx="16">
                <c:v>5000</c:v>
              </c:pt>
              <c:pt idx="17">
                <c:v>5000</c:v>
              </c:pt>
              <c:pt idx="18">
                <c:v>5000</c:v>
              </c:pt>
              <c:pt idx="19">
                <c:v>5000</c:v>
              </c:pt>
              <c:pt idx="20">
                <c:v>5000</c:v>
              </c:pt>
              <c:pt idx="21">
                <c:v>5000</c:v>
              </c:pt>
              <c:pt idx="22">
                <c:v>5000</c:v>
              </c:pt>
              <c:pt idx="23">
                <c:v>5000</c:v>
              </c:pt>
              <c:pt idx="24">
                <c:v>5000</c:v>
              </c:pt>
              <c:pt idx="25">
                <c:v>5000</c:v>
              </c:pt>
              <c:pt idx="26">
                <c:v>5000</c:v>
              </c:pt>
              <c:pt idx="27">
                <c:v>5000</c:v>
              </c:pt>
              <c:pt idx="28">
                <c:v>5000</c:v>
              </c:pt>
              <c:pt idx="29">
                <c:v>5000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3C67-4809-AA56-CFCE3BF04B80}"/>
            </c:ext>
          </c:extLst>
        </c:ser>
        <c:ser>
          <c:idx val="1"/>
          <c:order val="1"/>
          <c:tx>
            <c:v>Withdraw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3C67-4809-AA56-CFCE3BF04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9081696"/>
        <c:axId val="1949084576"/>
      </c:lineChart>
      <c:dateAx>
        <c:axId val="1949081696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949084576"/>
        <c:crosses val="min"/>
        <c:auto val="0"/>
        <c:lblOffset val="100"/>
        <c:baseTimeUnit val="days"/>
      </c:dateAx>
      <c:valAx>
        <c:axId val="194908457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949081696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Cash vs NAV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Cash/NAV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0.62421972534332082</c:v>
              </c:pt>
              <c:pt idx="5">
                <c:v>0.3106876553438277</c:v>
              </c:pt>
              <c:pt idx="6">
                <c:v>0.3011443485243927</c:v>
              </c:pt>
              <c:pt idx="7">
                <c:v>0.29850746268656714</c:v>
              </c:pt>
              <c:pt idx="8">
                <c:v>0.29097963142580019</c:v>
              </c:pt>
              <c:pt idx="9">
                <c:v>0.7428194123473093</c:v>
              </c:pt>
              <c:pt idx="10">
                <c:v>0.77420424403183019</c:v>
              </c:pt>
              <c:pt idx="11">
                <c:v>0.80119185565303752</c:v>
              </c:pt>
              <c:pt idx="12">
                <c:v>0.59116832328499269</c:v>
              </c:pt>
              <c:pt idx="13">
                <c:v>0.48505860987287436</c:v>
              </c:pt>
              <c:pt idx="14">
                <c:v>0.48642384105960262</c:v>
              </c:pt>
              <c:pt idx="15">
                <c:v>0.48537915083429706</c:v>
              </c:pt>
              <c:pt idx="16">
                <c:v>0.48282662284305672</c:v>
              </c:pt>
              <c:pt idx="17">
                <c:v>0.48828319760678079</c:v>
              </c:pt>
              <c:pt idx="18">
                <c:v>0.49898097826086957</c:v>
              </c:pt>
              <c:pt idx="19">
                <c:v>0.49204488360408644</c:v>
              </c:pt>
              <c:pt idx="20">
                <c:v>0.49923534409515719</c:v>
              </c:pt>
              <c:pt idx="21">
                <c:v>0.48322368421052631</c:v>
              </c:pt>
              <c:pt idx="22">
                <c:v>0.48570011572160687</c:v>
              </c:pt>
              <c:pt idx="23">
                <c:v>0.49278765514927875</c:v>
              </c:pt>
              <c:pt idx="24">
                <c:v>0.50865650969529086</c:v>
              </c:pt>
              <c:pt idx="25">
                <c:v>0.50085236958745316</c:v>
              </c:pt>
              <c:pt idx="26">
                <c:v>0.50256585699623679</c:v>
              </c:pt>
              <c:pt idx="27">
                <c:v>0.49720764934845152</c:v>
              </c:pt>
              <c:pt idx="28">
                <c:v>0.59246231155778895</c:v>
              </c:pt>
              <c:pt idx="29">
                <c:v>0.5909774436090226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A98-484D-B03C-F05BFA488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7913984"/>
        <c:axId val="1067914944"/>
      </c:lineChart>
      <c:dateAx>
        <c:axId val="106791398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067914944"/>
        <c:crosses val="min"/>
        <c:auto val="0"/>
        <c:lblOffset val="100"/>
        <c:baseTimeUnit val="days"/>
      </c:dateAx>
      <c:valAx>
        <c:axId val="1067914944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067913984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Portfolio_Alt.TOP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BNB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431</c:v>
              </c:pt>
              <c:pt idx="29">
                <c:v>431</c:v>
              </c:pt>
            </c:numLit>
          </c:val>
          <c:extLst>
            <c:ext xmlns:c16="http://schemas.microsoft.com/office/drawing/2014/chart" uri="{C3380CC4-5D6E-409C-BE32-E72D297353CC}">
              <c16:uniqueId val="{00000000-0BC1-4223-AA8E-474DA485F9A7}"/>
            </c:ext>
          </c:extLst>
        </c:ser>
        <c:ser>
          <c:idx val="1"/>
          <c:order val="1"/>
          <c:tx>
            <c:v>ETH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1806</c:v>
              </c:pt>
              <c:pt idx="5">
                <c:v>1842</c:v>
              </c:pt>
              <c:pt idx="6">
                <c:v>1955</c:v>
              </c:pt>
              <c:pt idx="7">
                <c:v>2005</c:v>
              </c:pt>
              <c:pt idx="8">
                <c:v>2130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BC1-4223-AA8E-474DA485F9A7}"/>
            </c:ext>
          </c:extLst>
        </c:ser>
        <c:ser>
          <c:idx val="2"/>
          <c:order val="2"/>
          <c:tx>
            <c:v>SOL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336</c:v>
              </c:pt>
              <c:pt idx="6">
                <c:v>351</c:v>
              </c:pt>
              <c:pt idx="7">
                <c:v>354</c:v>
              </c:pt>
              <c:pt idx="8">
                <c:v>360</c:v>
              </c:pt>
              <c:pt idx="9">
                <c:v>365</c:v>
              </c:pt>
              <c:pt idx="10">
                <c:v>175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0BC1-4223-AA8E-474DA485F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41344"/>
        <c:axId val="230952384"/>
      </c:barChart>
      <c:dateAx>
        <c:axId val="23094134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52384"/>
        <c:crosses val="autoZero"/>
        <c:auto val="0"/>
        <c:lblOffset val="100"/>
        <c:baseTimeUnit val="days"/>
      </c:dateAx>
      <c:valAx>
        <c:axId val="23095238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41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Portfolio_Alt.MID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FIL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752</c:v>
              </c:pt>
              <c:pt idx="14">
                <c:v>740</c:v>
              </c:pt>
              <c:pt idx="15">
                <c:v>760</c:v>
              </c:pt>
              <c:pt idx="16">
                <c:v>768</c:v>
              </c:pt>
              <c:pt idx="17">
                <c:v>740</c:v>
              </c:pt>
              <c:pt idx="18">
                <c:v>708</c:v>
              </c:pt>
              <c:pt idx="19">
                <c:v>731</c:v>
              </c:pt>
              <c:pt idx="20">
                <c:v>718</c:v>
              </c:pt>
              <c:pt idx="21">
                <c:v>773</c:v>
              </c:pt>
              <c:pt idx="22">
                <c:v>758</c:v>
              </c:pt>
              <c:pt idx="23">
                <c:v>728</c:v>
              </c:pt>
              <c:pt idx="24">
                <c:v>656</c:v>
              </c:pt>
              <c:pt idx="25">
                <c:v>697</c:v>
              </c:pt>
              <c:pt idx="26">
                <c:v>692</c:v>
              </c:pt>
              <c:pt idx="27">
                <c:v>715</c:v>
              </c:pt>
              <c:pt idx="28">
                <c:v>681</c:v>
              </c:pt>
              <c:pt idx="29">
                <c:v>687</c:v>
              </c:pt>
            </c:numLit>
          </c:val>
          <c:extLst>
            <c:ext xmlns:c16="http://schemas.microsoft.com/office/drawing/2014/chart" uri="{C3380CC4-5D6E-409C-BE32-E72D297353CC}">
              <c16:uniqueId val="{00000000-4670-4E0D-85EE-890C7B1B20D7}"/>
            </c:ext>
          </c:extLst>
        </c:ser>
        <c:ser>
          <c:idx val="1"/>
          <c:order val="1"/>
          <c:tx>
            <c:v>OP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175</c:v>
              </c:pt>
              <c:pt idx="13">
                <c:v>151</c:v>
              </c:pt>
              <c:pt idx="14">
                <c:v>145</c:v>
              </c:pt>
              <c:pt idx="15">
                <c:v>148</c:v>
              </c:pt>
              <c:pt idx="16">
                <c:v>152</c:v>
              </c:pt>
              <c:pt idx="17">
                <c:v>144</c:v>
              </c:pt>
              <c:pt idx="18">
                <c:v>137</c:v>
              </c:pt>
              <c:pt idx="19">
                <c:v>145</c:v>
              </c:pt>
              <c:pt idx="20">
                <c:v>143</c:v>
              </c:pt>
              <c:pt idx="21">
                <c:v>158</c:v>
              </c:pt>
              <c:pt idx="22">
                <c:v>162</c:v>
              </c:pt>
              <c:pt idx="23">
                <c:v>155</c:v>
              </c:pt>
              <c:pt idx="24">
                <c:v>138</c:v>
              </c:pt>
              <c:pt idx="25">
                <c:v>141</c:v>
              </c:pt>
              <c:pt idx="26">
                <c:v>139</c:v>
              </c:pt>
              <c:pt idx="27">
                <c:v>148</c:v>
              </c:pt>
              <c:pt idx="28">
                <c:v>139</c:v>
              </c:pt>
              <c:pt idx="29">
                <c:v>141</c:v>
              </c:pt>
            </c:numLit>
          </c:val>
          <c:extLst>
            <c:ext xmlns:c16="http://schemas.microsoft.com/office/drawing/2014/chart" uri="{C3380CC4-5D6E-409C-BE32-E72D297353CC}">
              <c16:uniqueId val="{00000004-4670-4E0D-85EE-890C7B1B20D7}"/>
            </c:ext>
          </c:extLst>
        </c:ser>
        <c:ser>
          <c:idx val="2"/>
          <c:order val="2"/>
          <c:tx>
            <c:v>ARB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114</c:v>
              </c:pt>
              <c:pt idx="13">
                <c:v>103</c:v>
              </c:pt>
              <c:pt idx="14">
                <c:v>96</c:v>
              </c:pt>
              <c:pt idx="15">
                <c:v>99</c:v>
              </c:pt>
              <c:pt idx="16">
                <c:v>107</c:v>
              </c:pt>
              <c:pt idx="17">
                <c:v>102</c:v>
              </c:pt>
              <c:pt idx="18">
                <c:v>95</c:v>
              </c:pt>
              <c:pt idx="19">
                <c:v>103</c:v>
              </c:pt>
              <c:pt idx="20">
                <c:v>99</c:v>
              </c:pt>
              <c:pt idx="21">
                <c:v>117</c:v>
              </c:pt>
              <c:pt idx="22">
                <c:v>123</c:v>
              </c:pt>
              <c:pt idx="23">
                <c:v>116</c:v>
              </c:pt>
              <c:pt idx="24">
                <c:v>103</c:v>
              </c:pt>
              <c:pt idx="25">
                <c:v>106</c:v>
              </c:pt>
              <c:pt idx="26">
                <c:v>101</c:v>
              </c:pt>
              <c:pt idx="27">
                <c:v>105</c:v>
              </c:pt>
              <c:pt idx="28">
                <c:v>98</c:v>
              </c:pt>
              <c:pt idx="29">
                <c:v>100</c:v>
              </c:pt>
            </c:numLit>
          </c:val>
          <c:extLst>
            <c:ext xmlns:c16="http://schemas.microsoft.com/office/drawing/2014/chart" uri="{C3380CC4-5D6E-409C-BE32-E72D297353CC}">
              <c16:uniqueId val="{00000005-4670-4E0D-85EE-890C7B1B2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56224"/>
        <c:axId val="230939904"/>
      </c:barChart>
      <c:dateAx>
        <c:axId val="23095622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39904"/>
        <c:crosses val="autoZero"/>
        <c:auto val="0"/>
        <c:lblOffset val="100"/>
        <c:baseTimeUnit val="days"/>
      </c:dateAx>
      <c:valAx>
        <c:axId val="23093990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56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Portfolio_Alt.LOW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TRUMP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962</c:v>
              </c:pt>
              <c:pt idx="13">
                <c:v>908</c:v>
              </c:pt>
              <c:pt idx="14">
                <c:v>925</c:v>
              </c:pt>
              <c:pt idx="15">
                <c:v>912</c:v>
              </c:pt>
              <c:pt idx="16">
                <c:v>923</c:v>
              </c:pt>
              <c:pt idx="17">
                <c:v>908</c:v>
              </c:pt>
              <c:pt idx="18">
                <c:v>861</c:v>
              </c:pt>
              <c:pt idx="19">
                <c:v>890</c:v>
              </c:pt>
              <c:pt idx="20">
                <c:v>841</c:v>
              </c:pt>
              <c:pt idx="21">
                <c:v>900</c:v>
              </c:pt>
              <c:pt idx="22">
                <c:v>891</c:v>
              </c:pt>
              <c:pt idx="23">
                <c:v>868</c:v>
              </c:pt>
              <c:pt idx="24">
                <c:v>819</c:v>
              </c:pt>
              <c:pt idx="25">
                <c:v>844</c:v>
              </c:pt>
              <c:pt idx="26">
                <c:v>841</c:v>
              </c:pt>
              <c:pt idx="27">
                <c:v>856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E8B-414F-9FDB-79D2566EDF1E}"/>
            </c:ext>
          </c:extLst>
        </c:ser>
        <c:ser>
          <c:idx val="1"/>
          <c:order val="1"/>
          <c:tx>
            <c:v>DOGE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24</c:v>
              </c:pt>
              <c:pt idx="13">
                <c:v>22</c:v>
              </c:pt>
              <c:pt idx="14">
                <c:v>23</c:v>
              </c:pt>
              <c:pt idx="15">
                <c:v>23</c:v>
              </c:pt>
              <c:pt idx="16">
                <c:v>23</c:v>
              </c:pt>
              <c:pt idx="17">
                <c:v>22</c:v>
              </c:pt>
              <c:pt idx="18">
                <c:v>21</c:v>
              </c:pt>
              <c:pt idx="19">
                <c:v>22</c:v>
              </c:pt>
              <c:pt idx="20">
                <c:v>21</c:v>
              </c:pt>
              <c:pt idx="21">
                <c:v>24</c:v>
              </c:pt>
              <c:pt idx="22">
                <c:v>24</c:v>
              </c:pt>
              <c:pt idx="23">
                <c:v>23</c:v>
              </c:pt>
              <c:pt idx="24">
                <c:v>21</c:v>
              </c:pt>
              <c:pt idx="25">
                <c:v>22</c:v>
              </c:pt>
              <c:pt idx="26">
                <c:v>22</c:v>
              </c:pt>
              <c:pt idx="27">
                <c:v>22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E8B-414F-9FDB-79D2566ED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68224"/>
        <c:axId val="230966784"/>
      </c:barChart>
      <c:dateAx>
        <c:axId val="23096822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66784"/>
        <c:crosses val="autoZero"/>
        <c:auto val="0"/>
        <c:lblOffset val="100"/>
        <c:baseTimeUnit val="days"/>
      </c:dateAx>
      <c:valAx>
        <c:axId val="23096678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68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Portfolio_Category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BTC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1150</c:v>
              </c:pt>
              <c:pt idx="6">
                <c:v>1175</c:v>
              </c:pt>
              <c:pt idx="7">
                <c:v>1167</c:v>
              </c:pt>
              <c:pt idx="8">
                <c:v>1165</c:v>
              </c:pt>
              <c:pt idx="9">
                <c:v>1193</c:v>
              </c:pt>
              <c:pt idx="10">
                <c:v>1187</c:v>
              </c:pt>
              <c:pt idx="11">
                <c:v>1201</c:v>
              </c:pt>
              <c:pt idx="12">
                <c:v>1233</c:v>
              </c:pt>
              <c:pt idx="13">
                <c:v>1183</c:v>
              </c:pt>
              <c:pt idx="14">
                <c:v>1173</c:v>
              </c:pt>
              <c:pt idx="15">
                <c:v>1174</c:v>
              </c:pt>
              <c:pt idx="16">
                <c:v>1174</c:v>
              </c:pt>
              <c:pt idx="17">
                <c:v>1162</c:v>
              </c:pt>
              <c:pt idx="18">
                <c:v>1129</c:v>
              </c:pt>
              <c:pt idx="19">
                <c:v>1143</c:v>
              </c:pt>
              <c:pt idx="20">
                <c:v>1125</c:v>
              </c:pt>
              <c:pt idx="21">
                <c:v>1169</c:v>
              </c:pt>
              <c:pt idx="22">
                <c:v>1154</c:v>
              </c:pt>
              <c:pt idx="23">
                <c:v>1135</c:v>
              </c:pt>
              <c:pt idx="24">
                <c:v>1101</c:v>
              </c:pt>
              <c:pt idx="25">
                <c:v>1118</c:v>
              </c:pt>
              <c:pt idx="26">
                <c:v>1113</c:v>
              </c:pt>
              <c:pt idx="27">
                <c:v>1126</c:v>
              </c:pt>
              <c:pt idx="28">
                <c:v>1084</c:v>
              </c:pt>
              <c:pt idx="29">
                <c:v>1088</c:v>
              </c:pt>
            </c:numLit>
          </c:val>
          <c:extLst>
            <c:ext xmlns:c16="http://schemas.microsoft.com/office/drawing/2014/chart" uri="{C3380CC4-5D6E-409C-BE32-E72D297353CC}">
              <c16:uniqueId val="{00000000-CDA2-4CFF-84C4-B5CB260ACF6E}"/>
            </c:ext>
          </c:extLst>
        </c:ser>
        <c:ser>
          <c:idx val="1"/>
          <c:order val="1"/>
          <c:tx>
            <c:v>Alt.TOP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1806</c:v>
              </c:pt>
              <c:pt idx="5">
                <c:v>2178</c:v>
              </c:pt>
              <c:pt idx="6">
                <c:v>2306</c:v>
              </c:pt>
              <c:pt idx="7">
                <c:v>2359</c:v>
              </c:pt>
              <c:pt idx="8">
                <c:v>2490</c:v>
              </c:pt>
              <c:pt idx="9">
                <c:v>365</c:v>
              </c:pt>
              <c:pt idx="10">
                <c:v>175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431</c:v>
              </c:pt>
              <c:pt idx="29">
                <c:v>431</c:v>
              </c:pt>
            </c:numLit>
          </c:val>
          <c:extLst>
            <c:ext xmlns:c16="http://schemas.microsoft.com/office/drawing/2014/chart" uri="{C3380CC4-5D6E-409C-BE32-E72D297353CC}">
              <c16:uniqueId val="{00000001-CDA2-4CFF-84C4-B5CB260ACF6E}"/>
            </c:ext>
          </c:extLst>
        </c:ser>
        <c:ser>
          <c:idx val="2"/>
          <c:order val="2"/>
          <c:tx>
            <c:v>Alt.MID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289</c:v>
              </c:pt>
              <c:pt idx="13">
                <c:v>1006</c:v>
              </c:pt>
              <c:pt idx="14">
                <c:v>981</c:v>
              </c:pt>
              <c:pt idx="15">
                <c:v>1007</c:v>
              </c:pt>
              <c:pt idx="16">
                <c:v>1027</c:v>
              </c:pt>
              <c:pt idx="17">
                <c:v>986</c:v>
              </c:pt>
              <c:pt idx="18">
                <c:v>940</c:v>
              </c:pt>
              <c:pt idx="19">
                <c:v>979</c:v>
              </c:pt>
              <c:pt idx="20">
                <c:v>960</c:v>
              </c:pt>
              <c:pt idx="21">
                <c:v>1048</c:v>
              </c:pt>
              <c:pt idx="22">
                <c:v>1043</c:v>
              </c:pt>
              <c:pt idx="23">
                <c:v>999</c:v>
              </c:pt>
              <c:pt idx="24">
                <c:v>897</c:v>
              </c:pt>
              <c:pt idx="25">
                <c:v>944</c:v>
              </c:pt>
              <c:pt idx="26">
                <c:v>932</c:v>
              </c:pt>
              <c:pt idx="27">
                <c:v>968</c:v>
              </c:pt>
              <c:pt idx="28">
                <c:v>918</c:v>
              </c:pt>
              <c:pt idx="29">
                <c:v>928</c:v>
              </c:pt>
            </c:numLit>
          </c:val>
          <c:extLst>
            <c:ext xmlns:c16="http://schemas.microsoft.com/office/drawing/2014/chart" uri="{C3380CC4-5D6E-409C-BE32-E72D297353CC}">
              <c16:uniqueId val="{00000002-CDA2-4CFF-84C4-B5CB260ACF6E}"/>
            </c:ext>
          </c:extLst>
        </c:ser>
        <c:ser>
          <c:idx val="3"/>
          <c:order val="3"/>
          <c:tx>
            <c:v>Alt.LOW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986</c:v>
              </c:pt>
              <c:pt idx="13">
                <c:v>930</c:v>
              </c:pt>
              <c:pt idx="14">
                <c:v>948</c:v>
              </c:pt>
              <c:pt idx="15">
                <c:v>935</c:v>
              </c:pt>
              <c:pt idx="16">
                <c:v>946</c:v>
              </c:pt>
              <c:pt idx="17">
                <c:v>930</c:v>
              </c:pt>
              <c:pt idx="18">
                <c:v>882</c:v>
              </c:pt>
              <c:pt idx="19">
                <c:v>912</c:v>
              </c:pt>
              <c:pt idx="20">
                <c:v>862</c:v>
              </c:pt>
              <c:pt idx="21">
                <c:v>924</c:v>
              </c:pt>
              <c:pt idx="22">
                <c:v>915</c:v>
              </c:pt>
              <c:pt idx="23">
                <c:v>891</c:v>
              </c:pt>
              <c:pt idx="24">
                <c:v>840</c:v>
              </c:pt>
              <c:pt idx="25">
                <c:v>866</c:v>
              </c:pt>
              <c:pt idx="26">
                <c:v>863</c:v>
              </c:pt>
              <c:pt idx="27">
                <c:v>878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CDA2-4CFF-84C4-B5CB260A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47104"/>
        <c:axId val="230953824"/>
      </c:barChart>
      <c:dateAx>
        <c:axId val="23094710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53824"/>
        <c:crosses val="autoZero"/>
        <c:auto val="0"/>
        <c:lblOffset val="100"/>
        <c:baseTimeUnit val="days"/>
      </c:dateAx>
      <c:valAx>
        <c:axId val="23095382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471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ysClr val="windowText" lastClr="000000"/>
                </a:solidFill>
              </a:rPr>
              <a:t>Cash</a:t>
            </a:r>
            <a:r>
              <a:rPr lang="en-US" sz="1200" b="1" baseline="0">
                <a:solidFill>
                  <a:sysClr val="windowText" lastClr="000000"/>
                </a:solidFill>
              </a:rPr>
              <a:t> vs Coin</a:t>
            </a:r>
            <a:endParaRPr lang="en-US" sz="12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3467118693496647E-2"/>
          <c:y val="0.18127602799650044"/>
          <c:w val="0.64141513560804897"/>
          <c:h val="0.76969816272965874"/>
        </c:manualLayout>
      </c:layout>
      <c:pieChart>
        <c:varyColors val="1"/>
        <c:ser>
          <c:idx val="1"/>
          <c:order val="1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Cash</c:v>
              </c:pt>
              <c:pt idx="1">
                <c:v>Coin</c:v>
              </c:pt>
            </c:strLit>
          </c:cat>
          <c:val>
            <c:numLit>
              <c:formatCode>General</c:formatCode>
              <c:ptCount val="2"/>
              <c:pt idx="0">
                <c:v>587</c:v>
              </c:pt>
              <c:pt idx="1">
                <c:v>5422</c:v>
              </c:pt>
            </c:numLit>
          </c:val>
          <c:extLst>
            <c:ext xmlns:c16="http://schemas.microsoft.com/office/drawing/2014/chart" uri="{C3380CC4-5D6E-409C-BE32-E72D297353CC}">
              <c16:uniqueId val="{00000001-C2D1-43BE-AB3A-ED83E554B0A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v>Cash vs Coin</c:v>
                </c:tx>
                <c:dLbls>
                  <c:numFmt formatCode="0%" sourceLinked="0"/>
                  <c:spPr>
                    <a:noFill/>
                    <a:ln>
                      <a:noFill/>
                    </a:ln>
                    <a:effectLst/>
                  </c:sp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[1]Position!$Z$1:$Z$2</c15:sqref>
                        </c15:formulaRef>
                      </c:ext>
                    </c:extLst>
                    <c:strCache>
                      <c:ptCount val="2"/>
                      <c:pt idx="0">
                        <c:v>Cash</c:v>
                      </c:pt>
                      <c:pt idx="1">
                        <c:v>Coin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[1]Position!$AA$1:$AA$2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7340</c:v>
                      </c:pt>
                      <c:pt idx="1">
                        <c:v>2195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C2D1-43BE-AB3A-ED83E554B0AE}"/>
                  </c:ext>
                </c:extLst>
              </c15:ser>
            </c15:filteredPieSeries>
          </c:ext>
        </c:extLst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accent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Alt.TOP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47419072615924"/>
          <c:y val="0.18127602799650044"/>
          <c:w val="0.64060331000291626"/>
          <c:h val="0.76872397200349951"/>
        </c:manualLayout>
      </c:layout>
      <c:pieChart>
        <c:varyColors val="1"/>
        <c:ser>
          <c:idx val="0"/>
          <c:order val="0"/>
          <c:dLbls>
            <c:dLbl>
              <c:idx val="5"/>
              <c:layout>
                <c:manualLayout>
                  <c:x val="-9.3999465073043784E-2"/>
                  <c:y val="1.2540570049174525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268-476E-B5C6-5A03505ACE8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7"/>
              <c:pt idx="0">
                <c:v>ETH</c:v>
              </c:pt>
              <c:pt idx="1">
                <c:v>BNB</c:v>
              </c:pt>
              <c:pt idx="2">
                <c:v>ADA</c:v>
              </c:pt>
              <c:pt idx="3">
                <c:v>SUI</c:v>
              </c:pt>
              <c:pt idx="4">
                <c:v>SOL</c:v>
              </c:pt>
              <c:pt idx="5">
                <c:v>LINK</c:v>
              </c:pt>
              <c:pt idx="6">
                <c:v>HYPE</c:v>
              </c:pt>
            </c:strLit>
          </c:cat>
          <c:val>
            <c:numLit>
              <c:formatCode>General</c:formatCode>
              <c:ptCount val="7"/>
              <c:pt idx="0">
                <c:v>2761</c:v>
              </c:pt>
              <c:pt idx="1">
                <c:v>604</c:v>
              </c:pt>
              <c:pt idx="2">
                <c:v>330</c:v>
              </c:pt>
              <c:pt idx="3">
                <c:v>82</c:v>
              </c:pt>
              <c:pt idx="4">
                <c:v>946</c:v>
              </c:pt>
              <c:pt idx="5">
                <c:v>54</c:v>
              </c:pt>
              <c:pt idx="6">
                <c:v>91</c:v>
              </c:pt>
            </c:numLit>
          </c:val>
          <c:extLst>
            <c:ext xmlns:c16="http://schemas.microsoft.com/office/drawing/2014/chart" uri="{C3380CC4-5D6E-409C-BE32-E72D297353CC}">
              <c16:uniqueId val="{00000000-B879-4B3A-B398-FD36445AF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/>
            </a:pPr>
            <a:r>
              <a:rPr lang="en-US" sz="1050"/>
              <a:t>Alt.MID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75637607052104"/>
          <c:y val="0.17228634158047945"/>
          <c:w val="0.55473036985914614"/>
          <c:h val="0.7763720971890925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9"/>
              <c:pt idx="0">
                <c:v>VET</c:v>
              </c:pt>
              <c:pt idx="1">
                <c:v>ALGO</c:v>
              </c:pt>
              <c:pt idx="2">
                <c:v>NEAR</c:v>
              </c:pt>
              <c:pt idx="3">
                <c:v>WLD</c:v>
              </c:pt>
              <c:pt idx="4">
                <c:v>ONDO</c:v>
              </c:pt>
              <c:pt idx="5">
                <c:v>UNI</c:v>
              </c:pt>
              <c:pt idx="6">
                <c:v>INJ</c:v>
              </c:pt>
              <c:pt idx="7">
                <c:v>MNT</c:v>
              </c:pt>
              <c:pt idx="8">
                <c:v>ARB</c:v>
              </c:pt>
            </c:strLit>
          </c:cat>
          <c:val>
            <c:numLit>
              <c:formatCode>General</c:formatCode>
              <c:ptCount val="9"/>
              <c:pt idx="0">
                <c:v>45</c:v>
              </c:pt>
              <c:pt idx="1">
                <c:v>30</c:v>
              </c:pt>
              <c:pt idx="2">
                <c:v>27</c:v>
              </c:pt>
              <c:pt idx="3">
                <c:v>120</c:v>
              </c:pt>
              <c:pt idx="4">
                <c:v>68</c:v>
              </c:pt>
              <c:pt idx="5">
                <c:v>30</c:v>
              </c:pt>
              <c:pt idx="6">
                <c:v>29</c:v>
              </c:pt>
              <c:pt idx="7">
                <c:v>157</c:v>
              </c:pt>
              <c:pt idx="8">
                <c:v>29</c:v>
              </c:pt>
            </c:numLit>
          </c:val>
          <c:extLst>
            <c:ext xmlns:c16="http://schemas.microsoft.com/office/drawing/2014/chart" uri="{C3380CC4-5D6E-409C-BE32-E72D297353CC}">
              <c16:uniqueId val="{00000000-EB06-4619-B985-06B6F4642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spPr>
        <a:ln>
          <a:noFill/>
        </a:ln>
      </c:spPr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Alt.LOW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762057086614173"/>
          <c:y val="0.15943967798392994"/>
          <c:w val="0.48930200131233598"/>
          <c:h val="0.78601039569064146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1"/>
              <c:pt idx="0">
                <c:v>AR</c:v>
              </c:pt>
            </c:strLit>
          </c:cat>
          <c:val>
            <c:numLit>
              <c:formatCode>General</c:formatCode>
              <c:ptCount val="1"/>
              <c:pt idx="0">
                <c:v>18</c:v>
              </c:pt>
            </c:numLit>
          </c:val>
          <c:extLst>
            <c:ext xmlns:c16="http://schemas.microsoft.com/office/drawing/2014/chart" uri="{C3380CC4-5D6E-409C-BE32-E72D297353CC}">
              <c16:uniqueId val="{00000000-3E5C-4357-8A27-A3FE4B5F0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Coin Category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537245344331959"/>
          <c:y val="0.18219947506561682"/>
          <c:w val="0.54581614798150235"/>
          <c:h val="0.76414260717410321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BTC</c:v>
              </c:pt>
              <c:pt idx="1">
                <c:v>Alt.TOP</c:v>
              </c:pt>
              <c:pt idx="2">
                <c:v>Alt.MID</c:v>
              </c:pt>
              <c:pt idx="3">
                <c:v>Alt.LOW</c:v>
              </c:pt>
            </c:strLit>
          </c:cat>
          <c:val>
            <c:numLit>
              <c:formatCode>General</c:formatCode>
              <c:ptCount val="4"/>
              <c:pt idx="0">
                <c:v>0</c:v>
              </c:pt>
              <c:pt idx="1">
                <c:v>4868</c:v>
              </c:pt>
              <c:pt idx="2">
                <c:v>535</c:v>
              </c:pt>
              <c:pt idx="3">
                <c:v>18</c:v>
              </c:pt>
            </c:numLit>
          </c:val>
          <c:extLst>
            <c:ext xmlns:c16="http://schemas.microsoft.com/office/drawing/2014/chart" uri="{C3380CC4-5D6E-409C-BE32-E72D297353CC}">
              <c16:uniqueId val="{00000000-A877-47B4-8F55-BC6ADAE19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NAV 3M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Position!$XFC$2:$XFC$94</c:f>
              <c:numCache>
                <c:formatCode>dd/mm/yy</c:formatCode>
                <c:ptCount val="93"/>
                <c:pt idx="0">
                  <c:v>45837</c:v>
                </c:pt>
                <c:pt idx="1">
                  <c:v>45838</c:v>
                </c:pt>
                <c:pt idx="2">
                  <c:v>45839</c:v>
                </c:pt>
                <c:pt idx="3">
                  <c:v>45840</c:v>
                </c:pt>
                <c:pt idx="4">
                  <c:v>45841</c:v>
                </c:pt>
                <c:pt idx="5">
                  <c:v>45842</c:v>
                </c:pt>
                <c:pt idx="6">
                  <c:v>45843</c:v>
                </c:pt>
                <c:pt idx="7">
                  <c:v>45844</c:v>
                </c:pt>
                <c:pt idx="8">
                  <c:v>45845</c:v>
                </c:pt>
                <c:pt idx="9">
                  <c:v>45846</c:v>
                </c:pt>
                <c:pt idx="10">
                  <c:v>45847</c:v>
                </c:pt>
                <c:pt idx="11">
                  <c:v>45848</c:v>
                </c:pt>
                <c:pt idx="12">
                  <c:v>45849</c:v>
                </c:pt>
                <c:pt idx="13">
                  <c:v>45850</c:v>
                </c:pt>
                <c:pt idx="14">
                  <c:v>45851</c:v>
                </c:pt>
                <c:pt idx="15">
                  <c:v>45852</c:v>
                </c:pt>
                <c:pt idx="16">
                  <c:v>45853</c:v>
                </c:pt>
                <c:pt idx="17">
                  <c:v>45854</c:v>
                </c:pt>
                <c:pt idx="18">
                  <c:v>45855</c:v>
                </c:pt>
                <c:pt idx="19">
                  <c:v>45856</c:v>
                </c:pt>
                <c:pt idx="20">
                  <c:v>45857</c:v>
                </c:pt>
                <c:pt idx="21">
                  <c:v>45858</c:v>
                </c:pt>
                <c:pt idx="22">
                  <c:v>45859</c:v>
                </c:pt>
                <c:pt idx="23">
                  <c:v>45860</c:v>
                </c:pt>
                <c:pt idx="24">
                  <c:v>45861</c:v>
                </c:pt>
                <c:pt idx="25">
                  <c:v>45862</c:v>
                </c:pt>
                <c:pt idx="26">
                  <c:v>45863</c:v>
                </c:pt>
                <c:pt idx="27">
                  <c:v>45864</c:v>
                </c:pt>
                <c:pt idx="28">
                  <c:v>45865</c:v>
                </c:pt>
                <c:pt idx="29">
                  <c:v>45866</c:v>
                </c:pt>
                <c:pt idx="30">
                  <c:v>45867</c:v>
                </c:pt>
                <c:pt idx="31">
                  <c:v>45868</c:v>
                </c:pt>
                <c:pt idx="32">
                  <c:v>45869</c:v>
                </c:pt>
                <c:pt idx="33">
                  <c:v>45870</c:v>
                </c:pt>
                <c:pt idx="34">
                  <c:v>45871</c:v>
                </c:pt>
                <c:pt idx="35">
                  <c:v>45872</c:v>
                </c:pt>
                <c:pt idx="36">
                  <c:v>45873</c:v>
                </c:pt>
                <c:pt idx="37">
                  <c:v>45874</c:v>
                </c:pt>
                <c:pt idx="38">
                  <c:v>45875</c:v>
                </c:pt>
                <c:pt idx="39">
                  <c:v>45876</c:v>
                </c:pt>
                <c:pt idx="40">
                  <c:v>45877</c:v>
                </c:pt>
                <c:pt idx="41">
                  <c:v>45878</c:v>
                </c:pt>
                <c:pt idx="42">
                  <c:v>45879</c:v>
                </c:pt>
                <c:pt idx="43">
                  <c:v>45880</c:v>
                </c:pt>
                <c:pt idx="44">
                  <c:v>45881</c:v>
                </c:pt>
                <c:pt idx="45">
                  <c:v>45882</c:v>
                </c:pt>
                <c:pt idx="46">
                  <c:v>45883</c:v>
                </c:pt>
                <c:pt idx="47">
                  <c:v>45884</c:v>
                </c:pt>
                <c:pt idx="49">
                  <c:v>45886</c:v>
                </c:pt>
                <c:pt idx="50">
                  <c:v>45887</c:v>
                </c:pt>
                <c:pt idx="51">
                  <c:v>45888</c:v>
                </c:pt>
                <c:pt idx="52">
                  <c:v>45889</c:v>
                </c:pt>
                <c:pt idx="53">
                  <c:v>45890</c:v>
                </c:pt>
                <c:pt idx="54">
                  <c:v>45891</c:v>
                </c:pt>
                <c:pt idx="55">
                  <c:v>45892</c:v>
                </c:pt>
                <c:pt idx="56">
                  <c:v>45893</c:v>
                </c:pt>
                <c:pt idx="57">
                  <c:v>45894</c:v>
                </c:pt>
                <c:pt idx="58">
                  <c:v>45895</c:v>
                </c:pt>
                <c:pt idx="59">
                  <c:v>45896</c:v>
                </c:pt>
                <c:pt idx="60">
                  <c:v>45897</c:v>
                </c:pt>
                <c:pt idx="61">
                  <c:v>45898</c:v>
                </c:pt>
                <c:pt idx="62">
                  <c:v>45899</c:v>
                </c:pt>
                <c:pt idx="63">
                  <c:v>45900</c:v>
                </c:pt>
                <c:pt idx="64">
                  <c:v>45901</c:v>
                </c:pt>
                <c:pt idx="65">
                  <c:v>45902</c:v>
                </c:pt>
                <c:pt idx="66">
                  <c:v>45903</c:v>
                </c:pt>
                <c:pt idx="67">
                  <c:v>45904</c:v>
                </c:pt>
                <c:pt idx="68">
                  <c:v>45905</c:v>
                </c:pt>
                <c:pt idx="69">
                  <c:v>45906</c:v>
                </c:pt>
                <c:pt idx="70">
                  <c:v>45907</c:v>
                </c:pt>
                <c:pt idx="71">
                  <c:v>45908</c:v>
                </c:pt>
                <c:pt idx="72">
                  <c:v>45909</c:v>
                </c:pt>
                <c:pt idx="73">
                  <c:v>45910</c:v>
                </c:pt>
                <c:pt idx="74">
                  <c:v>45911</c:v>
                </c:pt>
                <c:pt idx="75">
                  <c:v>45912</c:v>
                </c:pt>
                <c:pt idx="76">
                  <c:v>45913</c:v>
                </c:pt>
                <c:pt idx="77">
                  <c:v>45914</c:v>
                </c:pt>
                <c:pt idx="78">
                  <c:v>45915</c:v>
                </c:pt>
                <c:pt idx="79">
                  <c:v>45916</c:v>
                </c:pt>
                <c:pt idx="80">
                  <c:v>45917</c:v>
                </c:pt>
                <c:pt idx="81">
                  <c:v>45918</c:v>
                </c:pt>
                <c:pt idx="82">
                  <c:v>45919</c:v>
                </c:pt>
                <c:pt idx="83">
                  <c:v>45920</c:v>
                </c:pt>
                <c:pt idx="84">
                  <c:v>45921</c:v>
                </c:pt>
                <c:pt idx="85">
                  <c:v>45922</c:v>
                </c:pt>
                <c:pt idx="86">
                  <c:v>45923</c:v>
                </c:pt>
                <c:pt idx="87">
                  <c:v>45924</c:v>
                </c:pt>
                <c:pt idx="88">
                  <c:v>45925</c:v>
                </c:pt>
                <c:pt idx="89">
                  <c:v>45926</c:v>
                </c:pt>
                <c:pt idx="90">
                  <c:v>45927</c:v>
                </c:pt>
                <c:pt idx="91">
                  <c:v>45928</c:v>
                </c:pt>
                <c:pt idx="92">
                  <c:v>45929</c:v>
                </c:pt>
              </c:numCache>
            </c:numRef>
          </c:cat>
          <c:val>
            <c:numLit>
              <c:formatCode>General</c:formatCode>
              <c:ptCount val="93"/>
              <c:pt idx="0">
                <c:v>4957</c:v>
              </c:pt>
              <c:pt idx="1">
                <c:v>4949</c:v>
              </c:pt>
              <c:pt idx="2">
                <c:v>4904</c:v>
              </c:pt>
              <c:pt idx="3">
                <c:v>4997</c:v>
              </c:pt>
              <c:pt idx="4">
                <c:v>5008</c:v>
              </c:pt>
              <c:pt idx="5">
                <c:v>4962</c:v>
              </c:pt>
              <c:pt idx="6">
                <c:v>4967</c:v>
              </c:pt>
              <c:pt idx="7">
                <c:v>4997</c:v>
              </c:pt>
              <c:pt idx="8">
                <c:v>4981</c:v>
              </c:pt>
              <c:pt idx="9">
                <c:v>5022</c:v>
              </c:pt>
              <c:pt idx="10">
                <c:v>5108</c:v>
              </c:pt>
              <c:pt idx="11">
                <c:v>5210</c:v>
              </c:pt>
              <c:pt idx="12">
                <c:v>5213</c:v>
              </c:pt>
              <c:pt idx="13">
                <c:v>5205</c:v>
              </c:pt>
              <c:pt idx="14">
                <c:v>5221</c:v>
              </c:pt>
              <c:pt idx="15">
                <c:v>5244</c:v>
              </c:pt>
              <c:pt idx="16">
                <c:v>5314</c:v>
              </c:pt>
              <c:pt idx="17">
                <c:v>5444</c:v>
              </c:pt>
              <c:pt idx="18">
                <c:v>5503</c:v>
              </c:pt>
              <c:pt idx="19">
                <c:v>5542</c:v>
              </c:pt>
              <c:pt idx="20">
                <c:v>5567</c:v>
              </c:pt>
              <c:pt idx="21">
                <c:v>5659</c:v>
              </c:pt>
              <c:pt idx="22">
                <c:v>5663</c:v>
              </c:pt>
              <c:pt idx="23">
                <c:v>5654</c:v>
              </c:pt>
              <c:pt idx="24">
                <c:v>5588</c:v>
              </c:pt>
              <c:pt idx="25">
                <c:v>5632</c:v>
              </c:pt>
              <c:pt idx="26">
                <c:v>5642</c:v>
              </c:pt>
              <c:pt idx="27">
                <c:v>5651</c:v>
              </c:pt>
              <c:pt idx="28">
                <c:v>5724</c:v>
              </c:pt>
              <c:pt idx="29">
                <c:v>5683</c:v>
              </c:pt>
              <c:pt idx="30">
                <c:v>5680</c:v>
              </c:pt>
              <c:pt idx="31">
                <c:v>5689</c:v>
              </c:pt>
              <c:pt idx="32">
                <c:v>5627</c:v>
              </c:pt>
              <c:pt idx="33">
                <c:v>5120</c:v>
              </c:pt>
              <c:pt idx="34">
                <c:v>5017</c:v>
              </c:pt>
              <c:pt idx="35">
                <c:v>5130</c:v>
              </c:pt>
              <c:pt idx="36">
                <c:v>5327</c:v>
              </c:pt>
              <c:pt idx="37">
                <c:v>5203</c:v>
              </c:pt>
              <c:pt idx="38">
                <c:v>5283</c:v>
              </c:pt>
              <c:pt idx="39">
                <c:v>5505</c:v>
              </c:pt>
              <c:pt idx="40">
                <c:v>5582</c:v>
              </c:pt>
              <c:pt idx="41">
                <c:v>5761</c:v>
              </c:pt>
              <c:pt idx="42">
                <c:v>5767</c:v>
              </c:pt>
              <c:pt idx="43">
                <c:v>5680</c:v>
              </c:pt>
              <c:pt idx="44">
                <c:v>6035</c:v>
              </c:pt>
              <c:pt idx="45">
                <c:v>6221</c:v>
              </c:pt>
              <c:pt idx="46">
                <c:v>6028</c:v>
              </c:pt>
              <c:pt idx="47">
                <c:v>5933</c:v>
              </c:pt>
              <c:pt idx="48">
                <c:v>5945</c:v>
              </c:pt>
              <c:pt idx="49">
                <c:v>6015</c:v>
              </c:pt>
              <c:pt idx="50">
                <c:v>5851</c:v>
              </c:pt>
              <c:pt idx="51">
                <c:v>5605</c:v>
              </c:pt>
              <c:pt idx="52">
                <c:v>5881</c:v>
              </c:pt>
              <c:pt idx="53">
                <c:v>5735</c:v>
              </c:pt>
              <c:pt idx="54">
                <c:v>6302</c:v>
              </c:pt>
              <c:pt idx="55">
                <c:v>6259</c:v>
              </c:pt>
              <c:pt idx="56">
                <c:v>6253</c:v>
              </c:pt>
              <c:pt idx="57">
                <c:v>5832</c:v>
              </c:pt>
              <c:pt idx="58">
                <c:v>6053</c:v>
              </c:pt>
              <c:pt idx="59">
                <c:v>6006</c:v>
              </c:pt>
              <c:pt idx="60">
                <c:v>6083</c:v>
              </c:pt>
              <c:pt idx="61">
                <c:v>5905</c:v>
              </c:pt>
              <c:pt idx="62">
                <c:v>5903</c:v>
              </c:pt>
              <c:pt idx="63">
                <c:v>5890</c:v>
              </c:pt>
              <c:pt idx="64">
                <c:v>5808</c:v>
              </c:pt>
              <c:pt idx="65">
                <c:v>5901</c:v>
              </c:pt>
              <c:pt idx="66">
                <c:v>5988</c:v>
              </c:pt>
              <c:pt idx="67">
                <c:v>5824</c:v>
              </c:pt>
              <c:pt idx="68">
                <c:v>5858</c:v>
              </c:pt>
              <c:pt idx="69">
                <c:v>5827</c:v>
              </c:pt>
              <c:pt idx="70">
                <c:v>5901</c:v>
              </c:pt>
              <c:pt idx="71">
                <c:v>6008</c:v>
              </c:pt>
              <c:pt idx="72">
                <c:v>6074</c:v>
              </c:pt>
              <c:pt idx="73">
                <c:v>6165</c:v>
              </c:pt>
              <c:pt idx="74">
                <c:v>6266</c:v>
              </c:pt>
              <c:pt idx="75">
                <c:v>6509</c:v>
              </c:pt>
              <c:pt idx="76">
                <c:v>6525</c:v>
              </c:pt>
              <c:pt idx="77">
                <c:v>6426</c:v>
              </c:pt>
              <c:pt idx="78">
                <c:v>6321</c:v>
              </c:pt>
              <c:pt idx="79">
                <c:v>6360</c:v>
              </c:pt>
              <c:pt idx="80">
                <c:v>6508</c:v>
              </c:pt>
              <c:pt idx="81">
                <c:v>6535</c:v>
              </c:pt>
              <c:pt idx="82">
                <c:v>6347</c:v>
              </c:pt>
              <c:pt idx="83">
                <c:v>6392</c:v>
              </c:pt>
              <c:pt idx="84">
                <c:v>6327</c:v>
              </c:pt>
              <c:pt idx="85">
                <c:v>6021</c:v>
              </c:pt>
              <c:pt idx="86">
                <c:v>5957</c:v>
              </c:pt>
              <c:pt idx="87">
                <c:v>5953</c:v>
              </c:pt>
              <c:pt idx="88">
                <c:v>5581</c:v>
              </c:pt>
              <c:pt idx="89">
                <c:v>5789</c:v>
              </c:pt>
              <c:pt idx="90">
                <c:v>5766</c:v>
              </c:pt>
              <c:pt idx="91">
                <c:v>5754</c:v>
              </c:pt>
              <c:pt idx="92">
                <c:v>6009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57F-42DA-B782-F4197C64D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4360304"/>
        <c:axId val="1344347824"/>
      </c:lineChart>
      <c:dateAx>
        <c:axId val="1344360304"/>
        <c:scaling>
          <c:orientation val="minMax"/>
        </c:scaling>
        <c:delete val="0"/>
        <c:axPos val="b"/>
        <c:numFmt formatCode="dd/mm/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344347824"/>
        <c:crosses val="autoZero"/>
        <c:auto val="0"/>
        <c:lblOffset val="100"/>
        <c:baseTimeUnit val="days"/>
      </c:dateAx>
      <c:valAx>
        <c:axId val="1344347824"/>
        <c:scaling>
          <c:orientation val="minMax"/>
          <c:max val="8000"/>
          <c:min val="400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344360304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38100</xdr:rowOff>
        </xdr:from>
        <xdr:to>
          <xdr:col>4</xdr:col>
          <xdr:colOff>438150</xdr:colOff>
          <xdr:row>3</xdr:row>
          <xdr:rowOff>9525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319943</xdr:colOff>
      <xdr:row>5</xdr:row>
      <xdr:rowOff>14651</xdr:rowOff>
    </xdr:from>
    <xdr:to>
      <xdr:col>27</xdr:col>
      <xdr:colOff>333132</xdr:colOff>
      <xdr:row>27</xdr:row>
      <xdr:rowOff>126021</xdr:rowOff>
    </xdr:to>
    <xdr:graphicFrame macro="">
      <xdr:nvGraphicFramePr>
        <xdr:cNvPr id="13" name="PnL">
          <a:extLst>
            <a:ext uri="{FF2B5EF4-FFF2-40B4-BE49-F238E27FC236}">
              <a16:creationId xmlns:a16="http://schemas.microsoft.com/office/drawing/2014/main" id="{6E08B949-FB08-19A3-C259-71B5C112A8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36634</xdr:colOff>
      <xdr:row>5</xdr:row>
      <xdr:rowOff>4150</xdr:rowOff>
    </xdr:from>
    <xdr:to>
      <xdr:col>9</xdr:col>
      <xdr:colOff>5861</xdr:colOff>
      <xdr:row>27</xdr:row>
      <xdr:rowOff>115520</xdr:rowOff>
    </xdr:to>
    <xdr:graphicFrame macro="">
      <xdr:nvGraphicFramePr>
        <xdr:cNvPr id="10" name="NAV">
          <a:extLst>
            <a:ext uri="{FF2B5EF4-FFF2-40B4-BE49-F238E27FC236}">
              <a16:creationId xmlns:a16="http://schemas.microsoft.com/office/drawing/2014/main" id="{17837996-45A0-6C14-3BBE-2FC65BF3E0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146538</xdr:colOff>
      <xdr:row>5</xdr:row>
      <xdr:rowOff>4151</xdr:rowOff>
    </xdr:from>
    <xdr:to>
      <xdr:col>18</xdr:col>
      <xdr:colOff>159726</xdr:colOff>
      <xdr:row>27</xdr:row>
      <xdr:rowOff>115521</xdr:rowOff>
    </xdr:to>
    <xdr:graphicFrame macro="">
      <xdr:nvGraphicFramePr>
        <xdr:cNvPr id="11" name="Deposit">
          <a:extLst>
            <a:ext uri="{FF2B5EF4-FFF2-40B4-BE49-F238E27FC236}">
              <a16:creationId xmlns:a16="http://schemas.microsoft.com/office/drawing/2014/main" id="{01743988-4740-5164-675C-B2C008A357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28</xdr:row>
      <xdr:rowOff>158015</xdr:rowOff>
    </xdr:from>
    <xdr:to>
      <xdr:col>8</xdr:col>
      <xdr:colOff>606669</xdr:colOff>
      <xdr:row>51</xdr:row>
      <xdr:rowOff>108192</xdr:rowOff>
    </xdr:to>
    <xdr:graphicFrame macro="">
      <xdr:nvGraphicFramePr>
        <xdr:cNvPr id="8" name="Cash vs NAV">
          <a:extLst>
            <a:ext uri="{FF2B5EF4-FFF2-40B4-BE49-F238E27FC236}">
              <a16:creationId xmlns:a16="http://schemas.microsoft.com/office/drawing/2014/main" id="{87B17737-2668-B278-BD30-695AB23230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20813</xdr:colOff>
      <xdr:row>52</xdr:row>
      <xdr:rowOff>160566</xdr:rowOff>
    </xdr:from>
    <xdr:to>
      <xdr:col>9</xdr:col>
      <xdr:colOff>872</xdr:colOff>
      <xdr:row>75</xdr:row>
      <xdr:rowOff>106283</xdr:rowOff>
    </xdr:to>
    <xdr:graphicFrame macro="">
      <xdr:nvGraphicFramePr>
        <xdr:cNvPr id="6" name="Portfolio_Alt.TOP">
          <a:extLst>
            <a:ext uri="{FF2B5EF4-FFF2-40B4-BE49-F238E27FC236}">
              <a16:creationId xmlns:a16="http://schemas.microsoft.com/office/drawing/2014/main" id="{0B9695FE-15B3-CBC4-7552-543C80F98D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142822</xdr:colOff>
      <xdr:row>52</xdr:row>
      <xdr:rowOff>158971</xdr:rowOff>
    </xdr:from>
    <xdr:to>
      <xdr:col>18</xdr:col>
      <xdr:colOff>140402</xdr:colOff>
      <xdr:row>75</xdr:row>
      <xdr:rowOff>109148</xdr:rowOff>
    </xdr:to>
    <xdr:graphicFrame macro="">
      <xdr:nvGraphicFramePr>
        <xdr:cNvPr id="7" name="Portfolio_Alt.MID">
          <a:extLst>
            <a:ext uri="{FF2B5EF4-FFF2-40B4-BE49-F238E27FC236}">
              <a16:creationId xmlns:a16="http://schemas.microsoft.com/office/drawing/2014/main" id="{98368988-8449-D559-C4E7-5E07FB3EC6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332685</xdr:colOff>
      <xdr:row>53</xdr:row>
      <xdr:rowOff>644</xdr:rowOff>
    </xdr:from>
    <xdr:to>
      <xdr:col>27</xdr:col>
      <xdr:colOff>345872</xdr:colOff>
      <xdr:row>75</xdr:row>
      <xdr:rowOff>116473</xdr:rowOff>
    </xdr:to>
    <xdr:graphicFrame macro="">
      <xdr:nvGraphicFramePr>
        <xdr:cNvPr id="9" name="Portfolio_Alt.LOW">
          <a:extLst>
            <a:ext uri="{FF2B5EF4-FFF2-40B4-BE49-F238E27FC236}">
              <a16:creationId xmlns:a16="http://schemas.microsoft.com/office/drawing/2014/main" id="{7F5D2DA0-902A-B516-E8B2-8CF966C41B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151423</xdr:colOff>
      <xdr:row>29</xdr:row>
      <xdr:rowOff>11478</xdr:rowOff>
    </xdr:from>
    <xdr:to>
      <xdr:col>27</xdr:col>
      <xdr:colOff>331304</xdr:colOff>
      <xdr:row>51</xdr:row>
      <xdr:rowOff>122847</xdr:rowOff>
    </xdr:to>
    <xdr:graphicFrame macro="">
      <xdr:nvGraphicFramePr>
        <xdr:cNvPr id="12" name="Portfolio_Category">
          <a:extLst>
            <a:ext uri="{FF2B5EF4-FFF2-40B4-BE49-F238E27FC236}">
              <a16:creationId xmlns:a16="http://schemas.microsoft.com/office/drawing/2014/main" id="{4B972627-CE9C-2E17-E4F2-207A74B00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0.31732</cdr:x>
      <cdr:y>0.10267</cdr:y>
    </cdr:from>
    <cdr:to>
      <cdr:x>0.6872</cdr:x>
      <cdr:y>0.1649</cdr:y>
    </cdr:to>
    <cdr:sp macro="" textlink="">
      <cdr:nvSpPr>
        <cdr:cNvPr id="2" name="MDD_NAV">
          <a:extLst xmlns:a="http://schemas.openxmlformats.org/drawingml/2006/main">
            <a:ext uri="{FF2B5EF4-FFF2-40B4-BE49-F238E27FC236}">
              <a16:creationId xmlns:a16="http://schemas.microsoft.com/office/drawing/2014/main" id="{4A169C32-0D76-B6EE-5E92-F35B27C2F23A}"/>
            </a:ext>
          </a:extLst>
        </cdr:cNvPr>
        <cdr:cNvSpPr txBox="1"/>
      </cdr:nvSpPr>
      <cdr:spPr>
        <a:xfrm xmlns:a="http://schemas.openxmlformats.org/drawingml/2006/main">
          <a:off x="1743288" y="377190"/>
          <a:ext cx="2032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5400" tIns="12700" rIns="25400" bIns="12700" rtlCol="0"/>
        <a:lstStyle xmlns:a="http://schemas.openxmlformats.org/drawingml/2006/main"/>
        <a:p xmlns:a="http://schemas.openxmlformats.org/drawingml/2006/main">
          <a:pPr algn="ctr"/>
          <a:r>
            <a:rPr lang="en-US" sz="900" kern="1200">
              <a:solidFill>
                <a:srgbClr val="505050"/>
              </a:solidFill>
            </a:rPr>
            <a:t>Drawdown: Max. 6%, Current: 2%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0</xdr:row>
          <xdr:rowOff>142875</xdr:rowOff>
        </xdr:from>
        <xdr:to>
          <xdr:col>7</xdr:col>
          <xdr:colOff>38100</xdr:colOff>
          <xdr:row>3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12</xdr:col>
      <xdr:colOff>538001</xdr:colOff>
      <xdr:row>4</xdr:row>
      <xdr:rowOff>14923</xdr:rowOff>
    </xdr:from>
    <xdr:to>
      <xdr:col>18</xdr:col>
      <xdr:colOff>94184</xdr:colOff>
      <xdr:row>15</xdr:row>
      <xdr:rowOff>133165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9B52C179-E93D-494C-AC67-6CADC82E9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76703</xdr:colOff>
      <xdr:row>16</xdr:row>
      <xdr:rowOff>2189</xdr:rowOff>
    </xdr:from>
    <xdr:to>
      <xdr:col>11</xdr:col>
      <xdr:colOff>167355</xdr:colOff>
      <xdr:row>27</xdr:row>
      <xdr:rowOff>120430</xdr:rowOff>
    </xdr:to>
    <xdr:graphicFrame macro="">
      <xdr:nvGraphicFramePr>
        <xdr:cNvPr id="6" name="Alt.TOP">
          <a:extLst>
            <a:ext uri="{FF2B5EF4-FFF2-40B4-BE49-F238E27FC236}">
              <a16:creationId xmlns:a16="http://schemas.microsoft.com/office/drawing/2014/main" id="{4849185F-2A7F-D76D-B87F-296C4DA0A6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11</xdr:col>
      <xdr:colOff>268164</xdr:colOff>
      <xdr:row>16</xdr:row>
      <xdr:rowOff>5332</xdr:rowOff>
    </xdr:from>
    <xdr:to>
      <xdr:col>17</xdr:col>
      <xdr:colOff>190650</xdr:colOff>
      <xdr:row>27</xdr:row>
      <xdr:rowOff>115236</xdr:rowOff>
    </xdr:to>
    <xdr:graphicFrame macro="">
      <xdr:nvGraphicFramePr>
        <xdr:cNvPr id="7" name="Alt.MID">
          <a:extLst>
            <a:ext uri="{FF2B5EF4-FFF2-40B4-BE49-F238E27FC236}">
              <a16:creationId xmlns:a16="http://schemas.microsoft.com/office/drawing/2014/main" id="{A3D4012A-2BA0-8EE6-65C8-4B91C6A5DE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17</xdr:col>
      <xdr:colOff>268181</xdr:colOff>
      <xdr:row>16</xdr:row>
      <xdr:rowOff>7115</xdr:rowOff>
    </xdr:from>
    <xdr:to>
      <xdr:col>21</xdr:col>
      <xdr:colOff>890098</xdr:colOff>
      <xdr:row>27</xdr:row>
      <xdr:rowOff>116261</xdr:rowOff>
    </xdr:to>
    <xdr:graphicFrame macro="">
      <xdr:nvGraphicFramePr>
        <xdr:cNvPr id="8" name="Alt.LOW">
          <a:extLst>
            <a:ext uri="{FF2B5EF4-FFF2-40B4-BE49-F238E27FC236}">
              <a16:creationId xmlns:a16="http://schemas.microsoft.com/office/drawing/2014/main" id="{F3A3F75F-D475-07D7-DA82-DC7C78C93A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257175</xdr:colOff>
          <xdr:row>0</xdr:row>
          <xdr:rowOff>161925</xdr:rowOff>
        </xdr:from>
        <xdr:to>
          <xdr:col>11</xdr:col>
          <xdr:colOff>628650</xdr:colOff>
          <xdr:row>3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2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 all snapshots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18</xdr:col>
      <xdr:colOff>195266</xdr:colOff>
      <xdr:row>4</xdr:row>
      <xdr:rowOff>4991</xdr:rowOff>
    </xdr:from>
    <xdr:to>
      <xdr:col>21</xdr:col>
      <xdr:colOff>895765</xdr:colOff>
      <xdr:row>15</xdr:row>
      <xdr:rowOff>123233</xdr:rowOff>
    </xdr:to>
    <xdr:graphicFrame macro="">
      <xdr:nvGraphicFramePr>
        <xdr:cNvPr id="9" name="Coin Category">
          <a:extLst>
            <a:ext uri="{FF2B5EF4-FFF2-40B4-BE49-F238E27FC236}">
              <a16:creationId xmlns:a16="http://schemas.microsoft.com/office/drawing/2014/main" id="{3FDABFE4-F437-4FF1-4446-F074B2FA5D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76638</xdr:colOff>
      <xdr:row>4</xdr:row>
      <xdr:rowOff>17845</xdr:rowOff>
    </xdr:from>
    <xdr:to>
      <xdr:col>12</xdr:col>
      <xdr:colOff>442984</xdr:colOff>
      <xdr:row>15</xdr:row>
      <xdr:rowOff>127749</xdr:rowOff>
    </xdr:to>
    <xdr:graphicFrame macro="">
      <xdr:nvGraphicFramePr>
        <xdr:cNvPr id="2" name="NAV 3M">
          <a:extLst>
            <a:ext uri="{FF2B5EF4-FFF2-40B4-BE49-F238E27FC236}">
              <a16:creationId xmlns:a16="http://schemas.microsoft.com/office/drawing/2014/main" id="{108114FE-135E-AB68-714F-0292229C6F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3</xdr:row>
          <xdr:rowOff>47625</xdr:rowOff>
        </xdr:from>
        <xdr:to>
          <xdr:col>7</xdr:col>
          <xdr:colOff>333375</xdr:colOff>
          <xdr:row>4</xdr:row>
          <xdr:rowOff>104775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3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portfoilo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2</xdr:row>
          <xdr:rowOff>161925</xdr:rowOff>
        </xdr:from>
        <xdr:to>
          <xdr:col>9</xdr:col>
          <xdr:colOff>619125</xdr:colOff>
          <xdr:row>4</xdr:row>
          <xdr:rowOff>142875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3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Daily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247650</xdr:colOff>
          <xdr:row>3</xdr:row>
          <xdr:rowOff>85725</xdr:rowOff>
        </xdr:from>
        <xdr:to>
          <xdr:col>11</xdr:col>
          <xdr:colOff>409575</xdr:colOff>
          <xdr:row>4</xdr:row>
          <xdr:rowOff>171450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3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\Downloads\koi_code_bk.xlsm" TargetMode="External"/><Relationship Id="rId1" Type="http://schemas.openxmlformats.org/officeDocument/2006/relationships/externalLinkPath" Target="file:///C:\Users\AD\Downloads\koi_code_b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shboard"/>
      <sheetName val="Monthly_Review"/>
      <sheetName val="Position"/>
      <sheetName val="Catagory"/>
      <sheetName val="Portfolio_bk"/>
      <sheetName val="Order_History"/>
      <sheetName val="Sheet1"/>
      <sheetName val="Daily_Snapshot"/>
      <sheetName val="Order_History (2)"/>
      <sheetName val="storage"/>
    </sheetNames>
    <sheetDataSet>
      <sheetData sheetId="0"/>
      <sheetData sheetId="1"/>
      <sheetData sheetId="2">
        <row r="1">
          <cell r="Z1" t="str">
            <v>Cash</v>
          </cell>
          <cell r="AA1">
            <v>7340</v>
          </cell>
        </row>
        <row r="2">
          <cell r="Z2" t="str">
            <v>Coin</v>
          </cell>
          <cell r="AA2">
            <v>2195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F83CE-6F9E-4E89-B1EB-3A05F312659A}">
  <sheetPr codeName="Sheet1">
    <outlinePr summaryBelow="0" summaryRight="0"/>
  </sheetPr>
  <dimension ref="A1:J1025"/>
  <sheetViews>
    <sheetView zoomScale="160" zoomScaleNormal="160" workbookViewId="0">
      <pane xSplit="1" topLeftCell="B1" activePane="topRight" state="frozen"/>
      <selection pane="topRight" activeCell="F9" sqref="F9"/>
    </sheetView>
  </sheetViews>
  <sheetFormatPr defaultColWidth="14.42578125" defaultRowHeight="15" customHeight="1" x14ac:dyDescent="0.2"/>
  <cols>
    <col min="1" max="1" width="15.140625" customWidth="1"/>
    <col min="2" max="3" width="11.7109375" customWidth="1"/>
    <col min="4" max="4" width="12.7109375" customWidth="1"/>
    <col min="5" max="5" width="18.85546875" customWidth="1"/>
  </cols>
  <sheetData>
    <row r="1" spans="1:10" ht="15.75" customHeight="1" x14ac:dyDescent="0.25">
      <c r="A1" s="1" t="s">
        <v>40</v>
      </c>
    </row>
    <row r="2" spans="1:10" ht="15.75" customHeight="1" x14ac:dyDescent="0.2">
      <c r="B2" s="7">
        <v>45869</v>
      </c>
      <c r="C2" s="7">
        <v>45565</v>
      </c>
      <c r="D2" s="7"/>
      <c r="E2" s="29" t="s">
        <v>28</v>
      </c>
    </row>
    <row r="3" spans="1:10" ht="15.75" customHeight="1" x14ac:dyDescent="0.2">
      <c r="A3" s="2" t="s">
        <v>3</v>
      </c>
      <c r="B3" s="3"/>
      <c r="C3" s="3"/>
      <c r="D3" s="3"/>
      <c r="E3" s="37"/>
      <c r="F3" s="36"/>
    </row>
    <row r="4" spans="1:10" ht="15.75" customHeight="1" x14ac:dyDescent="0.2">
      <c r="A4" s="2" t="s">
        <v>4</v>
      </c>
      <c r="B4" s="3"/>
      <c r="C4" s="3">
        <v>4663.4799999999996</v>
      </c>
      <c r="D4" s="3"/>
      <c r="E4" s="30" t="s">
        <v>104</v>
      </c>
      <c r="F4" s="31">
        <f>SUM(B5:D5)-SUM(B6:D6)</f>
        <v>4663.4799999999996</v>
      </c>
      <c r="G4" s="60"/>
    </row>
    <row r="5" spans="1:10" ht="15.75" customHeight="1" x14ac:dyDescent="0.2">
      <c r="A5" s="2" t="s">
        <v>5</v>
      </c>
      <c r="B5" s="3">
        <v>4663.4799999999996</v>
      </c>
      <c r="C5" s="3"/>
      <c r="D5" s="3"/>
      <c r="E5" s="30" t="s">
        <v>0</v>
      </c>
      <c r="F5" s="31">
        <f>Portfolio_bk!B5</f>
        <v>5585.4556819999989</v>
      </c>
    </row>
    <row r="6" spans="1:10" ht="15.75" customHeight="1" x14ac:dyDescent="0.2">
      <c r="A6" s="2" t="s">
        <v>6</v>
      </c>
      <c r="B6" s="3"/>
      <c r="C6" s="3"/>
      <c r="D6" s="3"/>
      <c r="E6" s="30" t="s">
        <v>1</v>
      </c>
      <c r="F6" s="31">
        <f>F5-F4</f>
        <v>921.97568199999932</v>
      </c>
    </row>
    <row r="7" spans="1:10" ht="15.75" customHeight="1" x14ac:dyDescent="0.2">
      <c r="A7" s="2" t="s">
        <v>30</v>
      </c>
      <c r="B7" s="3"/>
      <c r="C7" s="3"/>
      <c r="D7" s="3"/>
      <c r="E7" s="30" t="s">
        <v>10</v>
      </c>
      <c r="F7" s="51">
        <f>F6/F4</f>
        <v>0.1977012192611525</v>
      </c>
    </row>
    <row r="8" spans="1:10" ht="15.75" customHeight="1" x14ac:dyDescent="0.2">
      <c r="A8" s="2" t="s">
        <v>7</v>
      </c>
      <c r="B8" s="3"/>
      <c r="C8" s="3"/>
      <c r="D8" s="2"/>
      <c r="E8" s="3"/>
      <c r="G8" s="3"/>
    </row>
    <row r="9" spans="1:10" ht="15.75" customHeight="1" x14ac:dyDescent="0.2">
      <c r="A9" s="2" t="s">
        <v>8</v>
      </c>
      <c r="B9" s="3">
        <v>4663.4799999999996</v>
      </c>
      <c r="C9" s="3">
        <f>Portfolio_bk!B5</f>
        <v>5585.4556819999989</v>
      </c>
      <c r="D9" s="5"/>
      <c r="E9" s="8"/>
      <c r="G9" s="3"/>
    </row>
    <row r="10" spans="1:10" ht="15.75" customHeight="1" x14ac:dyDescent="0.2">
      <c r="A10" s="2" t="s">
        <v>1</v>
      </c>
      <c r="B10" s="3"/>
      <c r="C10" s="3">
        <f>C9-B9</f>
        <v>921.97568199999932</v>
      </c>
      <c r="E10" s="23"/>
    </row>
    <row r="11" spans="1:10" ht="15.75" customHeight="1" x14ac:dyDescent="0.2">
      <c r="A11" s="2" t="s">
        <v>9</v>
      </c>
      <c r="B11" s="3"/>
      <c r="C11" s="3">
        <f>B10+C10</f>
        <v>921.97568199999932</v>
      </c>
      <c r="D11" s="5"/>
      <c r="E11" s="8"/>
    </row>
    <row r="12" spans="1:10" ht="15.75" customHeight="1" x14ac:dyDescent="0.2">
      <c r="A12" s="2" t="s">
        <v>2</v>
      </c>
      <c r="B12" s="9"/>
      <c r="C12" s="9"/>
      <c r="D12" s="3"/>
      <c r="E12" s="4"/>
    </row>
    <row r="13" spans="1:10" ht="15.75" customHeight="1" x14ac:dyDescent="0.2">
      <c r="B13" s="3"/>
      <c r="C13" s="3"/>
      <c r="D13" s="3"/>
      <c r="E13" s="3"/>
    </row>
    <row r="14" spans="1:10" ht="15.75" customHeight="1" x14ac:dyDescent="0.2">
      <c r="B14" s="3"/>
      <c r="C14" s="3"/>
      <c r="D14" s="3"/>
      <c r="E14" s="3"/>
    </row>
    <row r="15" spans="1:10" ht="15.75" customHeight="1" x14ac:dyDescent="0.2">
      <c r="B15" s="3"/>
      <c r="C15" s="3"/>
      <c r="D15" s="3"/>
      <c r="E15" s="3"/>
    </row>
    <row r="16" spans="1:10" ht="15.75" customHeight="1" x14ac:dyDescent="0.25">
      <c r="B16" s="3"/>
      <c r="C16" s="3"/>
      <c r="D16" s="3"/>
      <c r="E16" s="43"/>
      <c r="G16" s="23"/>
      <c r="I16" s="23"/>
      <c r="J16" s="23"/>
    </row>
    <row r="17" spans="2:9" ht="15.75" customHeight="1" x14ac:dyDescent="0.25">
      <c r="B17" s="3"/>
      <c r="C17" s="3"/>
      <c r="D17" s="3"/>
      <c r="E17" s="43"/>
      <c r="G17" s="23"/>
      <c r="I17" s="23"/>
    </row>
    <row r="18" spans="2:9" ht="15.75" customHeight="1" x14ac:dyDescent="0.2">
      <c r="B18" s="3"/>
      <c r="C18" s="3"/>
      <c r="D18" s="3"/>
      <c r="E18" s="3"/>
      <c r="G18" s="23"/>
      <c r="I18" s="23"/>
    </row>
    <row r="19" spans="2:9" ht="15.75" customHeight="1" x14ac:dyDescent="0.2">
      <c r="B19" s="39"/>
      <c r="C19" s="39"/>
      <c r="D19" s="3"/>
      <c r="E19" s="3"/>
      <c r="G19" s="23"/>
      <c r="I19" s="23"/>
    </row>
    <row r="20" spans="2:9" ht="15.75" customHeight="1" x14ac:dyDescent="0.2">
      <c r="B20" s="40"/>
      <c r="C20" s="40"/>
      <c r="E20" s="3"/>
      <c r="G20" s="23"/>
      <c r="I20" s="23"/>
    </row>
    <row r="21" spans="2:9" ht="15.75" customHeight="1" x14ac:dyDescent="0.2">
      <c r="B21" s="40"/>
      <c r="C21" s="40"/>
      <c r="E21" s="3"/>
      <c r="G21" s="23"/>
      <c r="I21" s="23"/>
    </row>
    <row r="22" spans="2:9" ht="15.75" customHeight="1" x14ac:dyDescent="0.2">
      <c r="B22" s="40"/>
      <c r="C22" s="40"/>
      <c r="E22" s="3"/>
      <c r="G22" s="23"/>
      <c r="I22" s="23"/>
    </row>
    <row r="23" spans="2:9" ht="15.75" customHeight="1" x14ac:dyDescent="0.2">
      <c r="E23" s="3"/>
      <c r="G23" s="23"/>
      <c r="I23" s="23"/>
    </row>
    <row r="24" spans="2:9" ht="15.75" customHeight="1" x14ac:dyDescent="0.2">
      <c r="E24" s="3"/>
      <c r="G24" s="23"/>
      <c r="I24" s="23"/>
    </row>
    <row r="25" spans="2:9" ht="15.75" customHeight="1" x14ac:dyDescent="0.2">
      <c r="B25" s="3"/>
      <c r="C25" s="3"/>
      <c r="D25" s="3"/>
      <c r="E25" s="3"/>
      <c r="G25" s="3"/>
      <c r="I25" s="23"/>
    </row>
    <row r="26" spans="2:9" ht="15.75" customHeight="1" x14ac:dyDescent="0.2">
      <c r="B26" s="39"/>
      <c r="C26" s="39"/>
      <c r="D26" s="3"/>
      <c r="E26" s="3"/>
      <c r="I26" s="23"/>
    </row>
    <row r="27" spans="2:9" ht="15.75" customHeight="1" x14ac:dyDescent="0.2">
      <c r="B27" s="3"/>
      <c r="C27" s="3"/>
      <c r="D27" s="3"/>
      <c r="E27" s="3"/>
      <c r="G27" s="23"/>
    </row>
    <row r="28" spans="2:9" ht="15.75" customHeight="1" x14ac:dyDescent="0.2">
      <c r="B28" s="3"/>
      <c r="C28" s="3"/>
      <c r="D28" s="3"/>
      <c r="E28" s="3"/>
      <c r="G28" s="23"/>
    </row>
    <row r="29" spans="2:9" ht="15.75" customHeight="1" x14ac:dyDescent="0.2">
      <c r="B29" s="3"/>
      <c r="C29" s="3"/>
      <c r="D29" s="3"/>
      <c r="E29" s="3"/>
      <c r="G29" s="23"/>
    </row>
    <row r="30" spans="2:9" ht="15.75" customHeight="1" x14ac:dyDescent="0.2">
      <c r="B30" s="3"/>
      <c r="C30" s="3"/>
      <c r="D30" s="3"/>
      <c r="E30" s="3"/>
    </row>
    <row r="31" spans="2:9" ht="15.75" customHeight="1" x14ac:dyDescent="0.2">
      <c r="B31" s="3"/>
      <c r="C31" s="3"/>
      <c r="D31" s="3"/>
      <c r="E31" s="3"/>
    </row>
    <row r="32" spans="2:9" ht="15.75" customHeight="1" x14ac:dyDescent="0.2">
      <c r="B32" s="3"/>
      <c r="C32" s="3"/>
      <c r="D32" s="3"/>
      <c r="E32" s="3"/>
    </row>
    <row r="33" spans="2:5" ht="15.75" customHeight="1" x14ac:dyDescent="0.2">
      <c r="B33" s="3"/>
      <c r="C33" s="3"/>
      <c r="D33" s="3"/>
      <c r="E33" s="3"/>
    </row>
    <row r="34" spans="2:5" ht="15.75" customHeight="1" x14ac:dyDescent="0.2">
      <c r="B34" s="3"/>
      <c r="C34" s="3"/>
      <c r="D34" s="3"/>
      <c r="E34" s="3"/>
    </row>
    <row r="35" spans="2:5" ht="15.75" customHeight="1" x14ac:dyDescent="0.2">
      <c r="B35" s="3"/>
      <c r="C35" s="3"/>
      <c r="D35" s="3"/>
      <c r="E35" s="3"/>
    </row>
    <row r="36" spans="2:5" ht="15.75" customHeight="1" x14ac:dyDescent="0.2">
      <c r="B36" s="3"/>
      <c r="C36" s="3"/>
      <c r="D36" s="3"/>
      <c r="E36" s="3"/>
    </row>
    <row r="37" spans="2:5" ht="15.75" customHeight="1" x14ac:dyDescent="0.2">
      <c r="B37" s="3"/>
      <c r="C37" s="3"/>
      <c r="D37" s="3"/>
      <c r="E37" s="3"/>
    </row>
    <row r="38" spans="2:5" ht="15.75" customHeight="1" x14ac:dyDescent="0.2">
      <c r="B38" s="3"/>
      <c r="C38" s="3"/>
      <c r="D38" s="3"/>
      <c r="E38" s="3"/>
    </row>
    <row r="39" spans="2:5" ht="15.75" customHeight="1" x14ac:dyDescent="0.2">
      <c r="B39" s="3"/>
      <c r="C39" s="3"/>
      <c r="D39" s="3"/>
      <c r="E39" s="3"/>
    </row>
    <row r="40" spans="2:5" ht="15.75" customHeight="1" x14ac:dyDescent="0.2">
      <c r="B40" s="3"/>
      <c r="C40" s="3"/>
      <c r="D40" s="3"/>
      <c r="E40" s="3"/>
    </row>
    <row r="41" spans="2:5" ht="15.75" customHeight="1" x14ac:dyDescent="0.2">
      <c r="B41" s="3"/>
      <c r="C41" s="3"/>
      <c r="D41" s="3"/>
      <c r="E41" s="3"/>
    </row>
    <row r="42" spans="2:5" ht="15.75" customHeight="1" x14ac:dyDescent="0.2">
      <c r="B42" s="3"/>
      <c r="C42" s="3"/>
      <c r="D42" s="3"/>
      <c r="E42" s="3"/>
    </row>
    <row r="43" spans="2:5" ht="15.75" customHeight="1" x14ac:dyDescent="0.2">
      <c r="B43" s="3"/>
      <c r="C43" s="3"/>
      <c r="D43" s="3"/>
      <c r="E43" s="3"/>
    </row>
    <row r="44" spans="2:5" ht="15.75" customHeight="1" x14ac:dyDescent="0.2">
      <c r="B44" s="3"/>
      <c r="C44" s="3"/>
      <c r="D44" s="3"/>
      <c r="E44" s="3"/>
    </row>
    <row r="45" spans="2:5" ht="15.75" customHeight="1" x14ac:dyDescent="0.2">
      <c r="B45" s="3"/>
      <c r="C45" s="3"/>
      <c r="D45" s="3"/>
      <c r="E45" s="3"/>
    </row>
    <row r="46" spans="2:5" ht="15.75" customHeight="1" x14ac:dyDescent="0.2">
      <c r="B46" s="3"/>
      <c r="C46" s="3"/>
      <c r="D46" s="3"/>
      <c r="E46" s="3"/>
    </row>
    <row r="47" spans="2:5" ht="15.75" customHeight="1" x14ac:dyDescent="0.2">
      <c r="B47" s="3"/>
      <c r="C47" s="3"/>
      <c r="D47" s="3"/>
      <c r="E47" s="3"/>
    </row>
    <row r="48" spans="2:5" ht="15.75" customHeight="1" x14ac:dyDescent="0.2">
      <c r="B48" s="3"/>
      <c r="C48" s="3"/>
      <c r="D48" s="3"/>
      <c r="E48" s="3"/>
    </row>
    <row r="49" spans="2:5" ht="15.75" customHeight="1" x14ac:dyDescent="0.2">
      <c r="B49" s="3"/>
      <c r="C49" s="3"/>
      <c r="D49" s="3"/>
      <c r="E49" s="3"/>
    </row>
    <row r="50" spans="2:5" ht="15.75" customHeight="1" x14ac:dyDescent="0.2">
      <c r="B50" s="3"/>
      <c r="C50" s="3"/>
      <c r="D50" s="3"/>
      <c r="E50" s="3"/>
    </row>
    <row r="51" spans="2:5" ht="15.75" customHeight="1" x14ac:dyDescent="0.2">
      <c r="B51" s="3"/>
      <c r="C51" s="3"/>
      <c r="D51" s="3"/>
      <c r="E51" s="3"/>
    </row>
    <row r="52" spans="2:5" ht="15.75" customHeight="1" x14ac:dyDescent="0.2">
      <c r="B52" s="3"/>
      <c r="C52" s="3"/>
      <c r="D52" s="3"/>
      <c r="E52" s="3"/>
    </row>
    <row r="53" spans="2:5" ht="15.75" customHeight="1" x14ac:dyDescent="0.2">
      <c r="B53" s="3"/>
      <c r="C53" s="3"/>
      <c r="D53" s="3"/>
      <c r="E53" s="3"/>
    </row>
    <row r="54" spans="2:5" ht="15.75" customHeight="1" x14ac:dyDescent="0.2">
      <c r="B54" s="3"/>
      <c r="C54" s="3"/>
      <c r="D54" s="3"/>
      <c r="E54" s="3"/>
    </row>
    <row r="55" spans="2:5" ht="15.75" customHeight="1" x14ac:dyDescent="0.2">
      <c r="B55" s="3"/>
      <c r="C55" s="3"/>
      <c r="D55" s="3"/>
      <c r="E55" s="3"/>
    </row>
    <row r="56" spans="2:5" ht="15.75" customHeight="1" x14ac:dyDescent="0.2">
      <c r="B56" s="3"/>
      <c r="C56" s="3"/>
      <c r="D56" s="3"/>
      <c r="E56" s="3"/>
    </row>
    <row r="57" spans="2:5" ht="15.75" customHeight="1" x14ac:dyDescent="0.2">
      <c r="B57" s="3"/>
      <c r="C57" s="3"/>
      <c r="D57" s="3"/>
      <c r="E57" s="3"/>
    </row>
    <row r="58" spans="2:5" ht="15.75" customHeight="1" x14ac:dyDescent="0.2">
      <c r="B58" s="3"/>
      <c r="C58" s="3"/>
      <c r="D58" s="3"/>
      <c r="E58" s="3"/>
    </row>
    <row r="59" spans="2:5" ht="15.75" customHeight="1" x14ac:dyDescent="0.2">
      <c r="B59" s="3"/>
      <c r="C59" s="3"/>
      <c r="D59" s="3"/>
      <c r="E59" s="3"/>
    </row>
    <row r="60" spans="2:5" ht="15.75" customHeight="1" x14ac:dyDescent="0.2">
      <c r="B60" s="3"/>
      <c r="C60" s="3"/>
      <c r="D60" s="3"/>
      <c r="E60" s="3"/>
    </row>
    <row r="61" spans="2:5" ht="15.75" customHeight="1" x14ac:dyDescent="0.2">
      <c r="B61" s="3"/>
      <c r="C61" s="3"/>
      <c r="D61" s="3"/>
      <c r="E61" s="3"/>
    </row>
    <row r="62" spans="2:5" ht="15.75" customHeight="1" x14ac:dyDescent="0.2">
      <c r="B62" s="3"/>
      <c r="C62" s="3"/>
      <c r="D62" s="3"/>
      <c r="E62" s="3"/>
    </row>
    <row r="63" spans="2:5" ht="15.75" customHeight="1" x14ac:dyDescent="0.2">
      <c r="B63" s="3"/>
      <c r="C63" s="3"/>
      <c r="D63" s="3"/>
      <c r="E63" s="3"/>
    </row>
    <row r="64" spans="2:5" ht="15.75" customHeight="1" x14ac:dyDescent="0.2">
      <c r="B64" s="3"/>
      <c r="C64" s="3"/>
      <c r="D64" s="3"/>
      <c r="E64" s="3"/>
    </row>
    <row r="65" spans="1:5" ht="15.75" customHeight="1" x14ac:dyDescent="0.2">
      <c r="B65" s="3"/>
      <c r="C65" s="3"/>
      <c r="D65" s="3"/>
      <c r="E65" s="3"/>
    </row>
    <row r="66" spans="1:5" ht="15.75" customHeight="1" x14ac:dyDescent="0.2">
      <c r="B66" s="3"/>
      <c r="C66" s="3"/>
      <c r="D66" s="3"/>
      <c r="E66" s="3"/>
    </row>
    <row r="67" spans="1:5" ht="15.75" customHeight="1" x14ac:dyDescent="0.2">
      <c r="B67" s="3"/>
      <c r="C67" s="3"/>
      <c r="D67" s="3"/>
      <c r="E67" s="3"/>
    </row>
    <row r="68" spans="1:5" ht="15.75" customHeight="1" x14ac:dyDescent="0.2">
      <c r="B68" s="3"/>
      <c r="C68" s="3"/>
      <c r="D68" s="3"/>
      <c r="E68" s="3"/>
    </row>
    <row r="69" spans="1:5" ht="15.75" customHeight="1" x14ac:dyDescent="0.2">
      <c r="B69" s="3"/>
      <c r="C69" s="3"/>
      <c r="D69" s="3"/>
      <c r="E69" s="3"/>
    </row>
    <row r="70" spans="1:5" ht="15.75" customHeight="1" x14ac:dyDescent="0.2">
      <c r="B70" s="3"/>
      <c r="C70" s="3"/>
      <c r="D70" s="3"/>
      <c r="E70" s="3"/>
    </row>
    <row r="71" spans="1:5" ht="15.75" customHeight="1" x14ac:dyDescent="0.2">
      <c r="B71" s="3"/>
      <c r="C71" s="3"/>
      <c r="D71" s="3"/>
      <c r="E71" s="3"/>
    </row>
    <row r="72" spans="1:5" ht="15.75" customHeight="1" x14ac:dyDescent="0.2">
      <c r="B72" s="3"/>
      <c r="C72" s="3"/>
      <c r="D72" s="3"/>
      <c r="E72" s="3"/>
    </row>
    <row r="73" spans="1:5" ht="15.75" customHeight="1" x14ac:dyDescent="0.2">
      <c r="B73" s="3"/>
      <c r="C73" s="3"/>
      <c r="D73" s="3"/>
      <c r="E73" s="3"/>
    </row>
    <row r="74" spans="1:5" ht="15.75" customHeight="1" x14ac:dyDescent="0.2">
      <c r="B74" s="3"/>
      <c r="C74" s="3"/>
      <c r="D74" s="3"/>
      <c r="E74" s="3"/>
    </row>
    <row r="75" spans="1:5" ht="15.75" customHeight="1" x14ac:dyDescent="0.2">
      <c r="B75" s="3"/>
      <c r="C75" s="3"/>
      <c r="D75" s="3"/>
      <c r="E75" s="3"/>
    </row>
    <row r="76" spans="1:5" ht="15.75" customHeight="1" x14ac:dyDescent="0.2">
      <c r="B76" s="3"/>
      <c r="C76" s="3"/>
      <c r="D76" s="3"/>
      <c r="E76" s="3"/>
    </row>
    <row r="77" spans="1:5" ht="15.75" customHeight="1" x14ac:dyDescent="0.2">
      <c r="B77" s="3"/>
      <c r="C77" s="3"/>
      <c r="D77" s="3"/>
      <c r="E77" s="3"/>
    </row>
    <row r="78" spans="1:5" ht="15.75" customHeight="1" x14ac:dyDescent="0.2">
      <c r="B78" s="3"/>
      <c r="C78" s="3"/>
      <c r="D78" s="3"/>
      <c r="E78" s="3"/>
    </row>
    <row r="79" spans="1:5" ht="15.75" customHeight="1" x14ac:dyDescent="0.2">
      <c r="B79" s="3"/>
      <c r="C79" s="3"/>
      <c r="D79" s="3"/>
      <c r="E79" s="3"/>
    </row>
    <row r="80" spans="1:5" ht="15.75" customHeight="1" x14ac:dyDescent="0.2">
      <c r="A80" s="12" t="s">
        <v>26</v>
      </c>
      <c r="B80" s="12"/>
      <c r="C80" s="12"/>
      <c r="D80" s="12"/>
      <c r="E80" s="12"/>
    </row>
    <row r="81" spans="1:5" ht="15.75" customHeight="1" x14ac:dyDescent="0.2">
      <c r="A81" s="13" t="s">
        <v>26</v>
      </c>
      <c r="B81" s="13"/>
      <c r="C81" s="13"/>
      <c r="D81" s="13"/>
      <c r="E81" s="13"/>
    </row>
    <row r="82" spans="1:5" ht="15.75" customHeight="1" x14ac:dyDescent="0.2">
      <c r="A82" s="13" t="s">
        <v>26</v>
      </c>
      <c r="B82" s="13"/>
      <c r="C82" s="13"/>
      <c r="D82" s="13"/>
      <c r="E82" s="13"/>
    </row>
    <row r="83" spans="1:5" ht="15.75" customHeight="1" x14ac:dyDescent="0.2">
      <c r="A83" s="13" t="s">
        <v>26</v>
      </c>
      <c r="B83" s="13"/>
      <c r="C83" s="13"/>
      <c r="D83" s="13"/>
      <c r="E83" s="13"/>
    </row>
    <row r="84" spans="1:5" ht="15.75" customHeight="1" x14ac:dyDescent="0.2">
      <c r="A84" s="13" t="s">
        <v>26</v>
      </c>
      <c r="B84" s="13"/>
      <c r="C84" s="13"/>
      <c r="D84" s="13"/>
      <c r="E84" s="13"/>
    </row>
    <row r="85" spans="1:5" ht="15.75" customHeight="1" x14ac:dyDescent="0.2">
      <c r="A85" s="13" t="s">
        <v>26</v>
      </c>
      <c r="B85" s="13"/>
      <c r="C85" s="13"/>
      <c r="D85" s="13"/>
      <c r="E85" s="13"/>
    </row>
    <row r="86" spans="1:5" ht="15.75" customHeight="1" x14ac:dyDescent="0.2">
      <c r="A86" s="13" t="s">
        <v>26</v>
      </c>
      <c r="B86" s="13"/>
      <c r="C86" s="13"/>
      <c r="D86" s="13"/>
      <c r="E86" s="13"/>
    </row>
    <row r="87" spans="1:5" ht="15.75" customHeight="1" x14ac:dyDescent="0.2">
      <c r="A87" s="13" t="s">
        <v>26</v>
      </c>
      <c r="B87" s="13"/>
      <c r="C87" s="13"/>
      <c r="D87" s="13"/>
      <c r="E87" s="13"/>
    </row>
    <row r="88" spans="1:5" ht="15.75" customHeight="1" x14ac:dyDescent="0.2">
      <c r="A88" s="13" t="s">
        <v>26</v>
      </c>
      <c r="B88" s="13"/>
      <c r="C88" s="13"/>
      <c r="D88" s="13"/>
      <c r="E88" s="13"/>
    </row>
    <row r="89" spans="1:5" ht="15.75" customHeight="1" x14ac:dyDescent="0.2">
      <c r="A89" s="13" t="s">
        <v>26</v>
      </c>
      <c r="B89" s="13"/>
      <c r="C89" s="13"/>
      <c r="D89" s="13"/>
      <c r="E89" s="13"/>
    </row>
    <row r="90" spans="1:5" ht="15.75" customHeight="1" x14ac:dyDescent="0.2">
      <c r="A90" s="13" t="s">
        <v>26</v>
      </c>
      <c r="B90" s="13"/>
      <c r="C90" s="13"/>
      <c r="D90" s="13"/>
      <c r="E90" s="13"/>
    </row>
    <row r="91" spans="1:5" ht="15.75" customHeight="1" x14ac:dyDescent="0.2">
      <c r="A91" s="13" t="s">
        <v>26</v>
      </c>
      <c r="B91" s="13"/>
      <c r="C91" s="13"/>
      <c r="D91" s="13"/>
      <c r="E91" s="13"/>
    </row>
    <row r="92" spans="1:5" ht="15.75" customHeight="1" x14ac:dyDescent="0.2">
      <c r="A92" s="13" t="s">
        <v>26</v>
      </c>
      <c r="B92" s="13"/>
      <c r="C92" s="13"/>
      <c r="D92" s="13"/>
      <c r="E92" s="13"/>
    </row>
    <row r="93" spans="1:5" ht="15.75" customHeight="1" x14ac:dyDescent="0.2">
      <c r="A93" s="13" t="s">
        <v>26</v>
      </c>
      <c r="B93" s="15"/>
      <c r="C93" s="15"/>
      <c r="D93" s="15"/>
      <c r="E93" s="15"/>
    </row>
    <row r="94" spans="1:5" ht="15.75" customHeight="1" x14ac:dyDescent="0.2">
      <c r="A94" s="13" t="s">
        <v>26</v>
      </c>
      <c r="B94" s="15"/>
      <c r="C94" s="15"/>
      <c r="D94" s="15"/>
      <c r="E94" s="15"/>
    </row>
    <row r="95" spans="1:5" ht="15.75" customHeight="1" x14ac:dyDescent="0.2">
      <c r="A95" s="13" t="s">
        <v>26</v>
      </c>
      <c r="B95" s="18"/>
      <c r="C95" s="18"/>
      <c r="D95" s="18"/>
      <c r="E95" s="15"/>
    </row>
    <row r="96" spans="1:5" ht="15.75" customHeight="1" x14ac:dyDescent="0.2">
      <c r="A96" s="13" t="s">
        <v>26</v>
      </c>
      <c r="B96" s="18"/>
      <c r="C96" s="18"/>
      <c r="D96" s="18"/>
      <c r="E96" s="15"/>
    </row>
    <row r="97" spans="1:5" ht="15.75" customHeight="1" x14ac:dyDescent="0.2">
      <c r="A97" s="13" t="s">
        <v>26</v>
      </c>
      <c r="B97" s="18"/>
      <c r="C97" s="18"/>
      <c r="D97" s="18"/>
      <c r="E97" s="15"/>
    </row>
    <row r="98" spans="1:5" ht="15.75" customHeight="1" x14ac:dyDescent="0.2">
      <c r="A98" s="13" t="s">
        <v>26</v>
      </c>
      <c r="B98" s="18"/>
      <c r="C98" s="18"/>
      <c r="D98" s="18"/>
      <c r="E98" s="15"/>
    </row>
    <row r="99" spans="1:5" ht="15.75" customHeight="1" x14ac:dyDescent="0.2">
      <c r="A99" s="13" t="s">
        <v>26</v>
      </c>
      <c r="B99" s="18"/>
      <c r="C99" s="18"/>
      <c r="D99" s="18"/>
      <c r="E99" s="15"/>
    </row>
    <row r="100" spans="1:5" ht="15.75" customHeight="1" x14ac:dyDescent="0.2">
      <c r="A100" s="13" t="s">
        <v>26</v>
      </c>
      <c r="B100" s="18"/>
      <c r="C100" s="18"/>
      <c r="D100" s="18"/>
      <c r="E100" s="15"/>
    </row>
    <row r="101" spans="1:5" ht="15.75" customHeight="1" x14ac:dyDescent="0.2">
      <c r="A101" s="13" t="s">
        <v>26</v>
      </c>
      <c r="B101" s="18"/>
      <c r="C101" s="18"/>
      <c r="D101" s="18"/>
      <c r="E101" s="15"/>
    </row>
    <row r="102" spans="1:5" ht="15.75" customHeight="1" x14ac:dyDescent="0.2">
      <c r="A102" s="13" t="s">
        <v>26</v>
      </c>
      <c r="B102" s="24"/>
      <c r="C102" s="24"/>
      <c r="D102" s="24"/>
    </row>
    <row r="103" spans="1:5" ht="15.75" customHeight="1" x14ac:dyDescent="0.2">
      <c r="A103" s="13" t="s">
        <v>26</v>
      </c>
      <c r="B103" s="24"/>
      <c r="C103" s="24"/>
      <c r="D103" s="24"/>
    </row>
    <row r="104" spans="1:5" ht="15.75" customHeight="1" x14ac:dyDescent="0.2">
      <c r="A104" s="16" t="s">
        <v>26</v>
      </c>
      <c r="B104" s="24"/>
      <c r="C104" s="24"/>
      <c r="D104" s="24"/>
    </row>
    <row r="105" spans="1:5" ht="15.75" customHeight="1" x14ac:dyDescent="0.2">
      <c r="A105" s="13" t="s">
        <v>26</v>
      </c>
      <c r="B105" s="18"/>
      <c r="C105" s="18"/>
      <c r="D105" s="18"/>
      <c r="E105" s="15"/>
    </row>
    <row r="106" spans="1:5" ht="15.75" customHeight="1" x14ac:dyDescent="0.2">
      <c r="A106" s="13" t="s">
        <v>26</v>
      </c>
      <c r="B106" s="15"/>
      <c r="C106" s="15"/>
      <c r="D106" s="15"/>
      <c r="E106" s="15"/>
    </row>
    <row r="107" spans="1:5" ht="16.5" customHeight="1" x14ac:dyDescent="0.2">
      <c r="A107" s="13" t="s">
        <v>26</v>
      </c>
      <c r="B107" s="18"/>
      <c r="C107" s="18"/>
      <c r="D107" s="18"/>
      <c r="E107" s="15"/>
    </row>
    <row r="108" spans="1:5" ht="15.75" customHeight="1" x14ac:dyDescent="0.2">
      <c r="A108" s="13" t="s">
        <v>26</v>
      </c>
      <c r="B108" s="18"/>
      <c r="C108" s="18"/>
      <c r="D108" s="18"/>
      <c r="E108" s="15"/>
    </row>
    <row r="109" spans="1:5" ht="15.75" customHeight="1" x14ac:dyDescent="0.2">
      <c r="A109" s="13" t="s">
        <v>26</v>
      </c>
      <c r="B109" s="18"/>
      <c r="C109" s="18"/>
      <c r="D109" s="18"/>
      <c r="E109" s="15"/>
    </row>
    <row r="110" spans="1:5" ht="15.75" customHeight="1" x14ac:dyDescent="0.2">
      <c r="A110" s="13" t="s">
        <v>26</v>
      </c>
      <c r="B110" s="18"/>
      <c r="C110" s="18"/>
      <c r="D110" s="18"/>
      <c r="E110" s="15"/>
    </row>
    <row r="111" spans="1:5" ht="15.75" customHeight="1" x14ac:dyDescent="0.2">
      <c r="A111" s="13" t="s">
        <v>26</v>
      </c>
      <c r="B111" s="18"/>
      <c r="C111" s="18"/>
      <c r="D111" s="18"/>
      <c r="E111" s="15"/>
    </row>
    <row r="112" spans="1:5" ht="15.75" customHeight="1" x14ac:dyDescent="0.2">
      <c r="A112" s="13" t="s">
        <v>26</v>
      </c>
      <c r="B112" s="18"/>
      <c r="C112" s="18"/>
      <c r="D112" s="18"/>
      <c r="E112" s="15"/>
    </row>
    <row r="113" spans="1:5" ht="15.75" customHeight="1" x14ac:dyDescent="0.2">
      <c r="A113" s="13" t="s">
        <v>26</v>
      </c>
      <c r="B113" s="2"/>
      <c r="C113" s="2"/>
      <c r="D113" s="2"/>
    </row>
    <row r="114" spans="1:5" ht="15.75" customHeight="1" x14ac:dyDescent="0.2">
      <c r="A114" s="13" t="s">
        <v>26</v>
      </c>
      <c r="B114" s="18"/>
      <c r="C114" s="18"/>
      <c r="D114" s="18"/>
      <c r="E114" s="15"/>
    </row>
    <row r="115" spans="1:5" ht="15.75" customHeight="1" x14ac:dyDescent="0.2">
      <c r="A115" s="13" t="s">
        <v>26</v>
      </c>
      <c r="B115" s="18"/>
      <c r="C115" s="18"/>
      <c r="D115" s="18"/>
      <c r="E115" s="15"/>
    </row>
    <row r="116" spans="1:5" ht="15.75" customHeight="1" x14ac:dyDescent="0.2">
      <c r="A116" s="13" t="s">
        <v>26</v>
      </c>
      <c r="B116" s="18"/>
      <c r="C116" s="18"/>
      <c r="D116" s="18"/>
      <c r="E116" s="15"/>
    </row>
    <row r="117" spans="1:5" ht="15.75" customHeight="1" x14ac:dyDescent="0.2">
      <c r="A117" s="13" t="s">
        <v>26</v>
      </c>
      <c r="B117" s="18"/>
      <c r="C117" s="18"/>
      <c r="D117" s="18"/>
      <c r="E117" s="15"/>
    </row>
    <row r="118" spans="1:5" ht="15.75" customHeight="1" x14ac:dyDescent="0.2">
      <c r="A118" s="13" t="s">
        <v>26</v>
      </c>
      <c r="B118" s="24"/>
      <c r="C118" s="24"/>
      <c r="D118" s="24"/>
    </row>
    <row r="119" spans="1:5" ht="15.75" customHeight="1" x14ac:dyDescent="0.2">
      <c r="A119" s="13" t="s">
        <v>26</v>
      </c>
      <c r="B119" s="24"/>
      <c r="C119" s="24"/>
      <c r="D119" s="24"/>
    </row>
    <row r="120" spans="1:5" ht="15.75" customHeight="1" x14ac:dyDescent="0.2">
      <c r="A120" s="13" t="s">
        <v>26</v>
      </c>
      <c r="B120" s="24"/>
      <c r="C120" s="24"/>
      <c r="D120" s="24"/>
    </row>
    <row r="121" spans="1:5" ht="15.75" customHeight="1" x14ac:dyDescent="0.2">
      <c r="A121" s="13" t="s">
        <v>26</v>
      </c>
      <c r="B121" s="24"/>
      <c r="C121" s="24"/>
      <c r="D121" s="24"/>
    </row>
    <row r="122" spans="1:5" ht="15.75" customHeight="1" x14ac:dyDescent="0.2"/>
    <row r="123" spans="1:5" ht="15.75" customHeight="1" x14ac:dyDescent="0.2"/>
    <row r="124" spans="1:5" ht="15.75" customHeight="1" x14ac:dyDescent="0.2"/>
    <row r="125" spans="1:5" ht="15.75" customHeight="1" x14ac:dyDescent="0.2"/>
    <row r="126" spans="1:5" ht="15.75" customHeight="1" x14ac:dyDescent="0.2"/>
    <row r="127" spans="1:5" ht="15.75" customHeight="1" x14ac:dyDescent="0.2"/>
    <row r="128" spans="1:5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  <row r="1007" ht="15.75" customHeight="1" x14ac:dyDescent="0.2"/>
    <row r="1008" ht="15.75" customHeight="1" x14ac:dyDescent="0.2"/>
    <row r="1009" ht="15.75" customHeight="1" x14ac:dyDescent="0.2"/>
    <row r="1010" ht="15.75" customHeight="1" x14ac:dyDescent="0.2"/>
    <row r="1011" ht="15.75" customHeight="1" x14ac:dyDescent="0.2"/>
    <row r="1012" ht="15.75" customHeight="1" x14ac:dyDescent="0.2"/>
    <row r="1013" ht="15.75" customHeight="1" x14ac:dyDescent="0.2"/>
    <row r="1014" ht="15.75" customHeight="1" x14ac:dyDescent="0.2"/>
    <row r="1015" ht="15.75" customHeight="1" x14ac:dyDescent="0.2"/>
    <row r="1016" ht="15.75" customHeight="1" x14ac:dyDescent="0.2"/>
    <row r="1017" ht="15.75" customHeight="1" x14ac:dyDescent="0.2"/>
    <row r="1018" ht="15.75" customHeight="1" x14ac:dyDescent="0.2"/>
    <row r="1019" ht="15.75" customHeight="1" x14ac:dyDescent="0.2"/>
    <row r="1020" ht="15.75" customHeight="1" x14ac:dyDescent="0.2"/>
    <row r="1021" ht="15.75" customHeight="1" x14ac:dyDescent="0.2"/>
    <row r="1022" ht="15.75" customHeight="1" x14ac:dyDescent="0.2"/>
    <row r="1023" ht="15.75" customHeight="1" x14ac:dyDescent="0.2"/>
    <row r="1024" ht="15.75" customHeight="1" x14ac:dyDescent="0.2"/>
    <row r="1025" ht="15.75" customHeight="1" x14ac:dyDescent="0.2"/>
  </sheetData>
  <conditionalFormatting sqref="B19:C19 B26:C26">
    <cfRule type="cellIs" dxfId="3" priority="18" operator="lessThan">
      <formula>#REF!</formula>
    </cfRule>
  </conditionalFormatting>
  <dataValidations disablePrompts="1" count="1">
    <dataValidation type="list" allowBlank="1" sqref="A80:A121" xr:uid="{F47EBB0F-C040-44FA-A9AB-4FF9181444FB}">
      <formula1>"Mở,Đóng"</formula1>
    </dataValidation>
  </dataValidations>
  <pageMargins left="0.7" right="0.7" top="0.75" bottom="0.75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3D610-933B-4711-9D42-5E7E1D1869D4}">
  <sheetPr codeName="Sheet4"/>
  <dimension ref="A2:J5"/>
  <sheetViews>
    <sheetView topLeftCell="A4" zoomScale="85" zoomScaleNormal="85" workbookViewId="0">
      <selection activeCell="AF56" sqref="AF56"/>
    </sheetView>
  </sheetViews>
  <sheetFormatPr defaultRowHeight="12.75" x14ac:dyDescent="0.2"/>
  <cols>
    <col min="1" max="1" width="7.42578125" style="93" customWidth="1"/>
    <col min="2" max="2" width="11.42578125" style="93" customWidth="1"/>
    <col min="3" max="16384" width="9.140625" style="93"/>
  </cols>
  <sheetData>
    <row r="2" spans="1:10" x14ac:dyDescent="0.2">
      <c r="A2" s="93" t="s">
        <v>146</v>
      </c>
      <c r="B2" s="96">
        <v>45870</v>
      </c>
    </row>
    <row r="3" spans="1:10" x14ac:dyDescent="0.2">
      <c r="A3" s="93" t="s">
        <v>147</v>
      </c>
      <c r="B3" s="96">
        <v>45899</v>
      </c>
    </row>
    <row r="5" spans="1:10" x14ac:dyDescent="0.2">
      <c r="A5" s="97"/>
      <c r="E5" s="98"/>
      <c r="J5" s="9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Update_Dashboard">
                <anchor moveWithCells="1" sizeWithCells="1">
                  <from>
                    <xdr:col>3</xdr:col>
                    <xdr:colOff>9525</xdr:colOff>
                    <xdr:row>0</xdr:row>
                    <xdr:rowOff>38100</xdr:rowOff>
                  </from>
                  <to>
                    <xdr:col>4</xdr:col>
                    <xdr:colOff>438150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66150-7F8F-4B63-B765-6ACFCA84CD29}">
  <sheetPr codeName="Sheet8">
    <outlinePr summaryBelow="0" summaryRight="0"/>
  </sheetPr>
  <dimension ref="A1:XFD876"/>
  <sheetViews>
    <sheetView tabSelected="1" zoomScale="130" zoomScaleNormal="130" workbookViewId="0">
      <selection activeCell="U3" sqref="U3"/>
    </sheetView>
  </sheetViews>
  <sheetFormatPr defaultColWidth="14.42578125" defaultRowHeight="15" customHeight="1" x14ac:dyDescent="0.2"/>
  <cols>
    <col min="1" max="1" width="18.7109375" customWidth="1"/>
    <col min="2" max="2" width="11.28515625" customWidth="1"/>
    <col min="3" max="3" width="10.85546875" customWidth="1"/>
    <col min="4" max="4" width="10.5703125" customWidth="1"/>
    <col min="5" max="5" width="9" customWidth="1"/>
    <col min="6" max="6" width="6.7109375" customWidth="1"/>
    <col min="7" max="7" width="9.42578125" bestFit="1" customWidth="1"/>
    <col min="8" max="8" width="10.28515625" customWidth="1"/>
    <col min="9" max="9" width="8.140625" bestFit="1" customWidth="1"/>
    <col min="10" max="11" width="9.42578125" bestFit="1" customWidth="1"/>
    <col min="12" max="13" width="9.5703125" bestFit="1" customWidth="1"/>
    <col min="14" max="14" width="7.140625" customWidth="1"/>
    <col min="15" max="15" width="5.7109375" bestFit="1" customWidth="1"/>
    <col min="16" max="16" width="9" bestFit="1" customWidth="1"/>
    <col min="17" max="17" width="8.140625" style="32" bestFit="1" customWidth="1"/>
    <col min="18" max="18" width="8" customWidth="1"/>
    <col min="19" max="19" width="8.7109375" customWidth="1"/>
    <col min="16383" max="16384" width="0" hidden="1" customWidth="1"/>
  </cols>
  <sheetData>
    <row r="1" spans="1:16 16383:16384" ht="15.75" customHeight="1" x14ac:dyDescent="0.25">
      <c r="A1" s="115" t="s">
        <v>664</v>
      </c>
      <c r="B1" s="116"/>
      <c r="C1" s="116"/>
      <c r="D1" s="114"/>
      <c r="E1" s="3"/>
      <c r="G1" s="3"/>
      <c r="H1" s="3"/>
    </row>
    <row r="2" spans="1:16 16383:16384" ht="15.75" customHeight="1" x14ac:dyDescent="0.2">
      <c r="A2" s="75"/>
      <c r="B2" s="76"/>
      <c r="C2" s="76"/>
      <c r="D2" s="3"/>
      <c r="E2" s="3"/>
      <c r="G2" s="3"/>
      <c r="H2" s="3"/>
      <c r="XFC2" s="119">
        <v>45837</v>
      </c>
      <c r="XFD2" s="113">
        <v>45809</v>
      </c>
    </row>
    <row r="3" spans="1:16 16383:16384" ht="15.75" customHeight="1" x14ac:dyDescent="0.2">
      <c r="A3" s="91" t="s">
        <v>673</v>
      </c>
      <c r="B3" s="120">
        <v>45929</v>
      </c>
      <c r="C3" s="3" t="s">
        <v>716</v>
      </c>
      <c r="F3" s="56"/>
      <c r="H3" s="3"/>
      <c r="N3" s="56"/>
      <c r="O3" s="10"/>
      <c r="P3" s="10"/>
      <c r="XFC3" s="119">
        <v>45838</v>
      </c>
      <c r="XFD3" s="113">
        <v>45810</v>
      </c>
    </row>
    <row r="4" spans="1:16 16383:16384" ht="15.75" customHeight="1" x14ac:dyDescent="0.2">
      <c r="A4" s="91"/>
      <c r="B4" s="3"/>
      <c r="C4" s="3"/>
      <c r="F4" s="56"/>
      <c r="H4" s="3"/>
      <c r="O4" s="10"/>
      <c r="P4" s="10"/>
      <c r="XFC4" s="119">
        <v>45839</v>
      </c>
      <c r="XFD4" s="113">
        <v>45811</v>
      </c>
    </row>
    <row r="5" spans="1:16 16383:16384" ht="15.75" customHeight="1" x14ac:dyDescent="0.2">
      <c r="A5" s="152" t="s">
        <v>665</v>
      </c>
      <c r="B5" s="152"/>
      <c r="C5" s="152"/>
      <c r="F5" s="56"/>
      <c r="H5" s="3"/>
      <c r="O5" s="10"/>
      <c r="P5" s="10"/>
      <c r="XFC5" s="119">
        <v>45840</v>
      </c>
      <c r="XFD5" s="113">
        <v>45812</v>
      </c>
    </row>
    <row r="6" spans="1:16 16383:16384" ht="15.75" customHeight="1" x14ac:dyDescent="0.2">
      <c r="A6" s="5"/>
      <c r="B6" s="24"/>
      <c r="C6" s="117" t="s">
        <v>667</v>
      </c>
      <c r="D6" s="159" t="s">
        <v>666</v>
      </c>
      <c r="E6" s="159"/>
      <c r="F6" s="56"/>
      <c r="H6" s="3"/>
      <c r="O6" s="10"/>
      <c r="P6" s="10"/>
      <c r="XFC6" s="119">
        <v>45841</v>
      </c>
      <c r="XFD6" s="113">
        <v>45813</v>
      </c>
    </row>
    <row r="7" spans="1:16 16383:16384" ht="15.75" customHeight="1" x14ac:dyDescent="0.2">
      <c r="A7" s="109" t="s">
        <v>138</v>
      </c>
      <c r="B7" s="24">
        <v>587</v>
      </c>
      <c r="C7" s="118"/>
      <c r="F7" s="56"/>
      <c r="H7" s="3"/>
      <c r="O7" s="10"/>
      <c r="P7" s="10"/>
      <c r="XFC7" s="119">
        <v>45842</v>
      </c>
      <c r="XFD7" s="113">
        <v>45814</v>
      </c>
    </row>
    <row r="8" spans="1:16 16383:16384" ht="15.75" customHeight="1" x14ac:dyDescent="0.2">
      <c r="A8" s="109" t="s">
        <v>111</v>
      </c>
      <c r="B8" s="24">
        <v>5422</v>
      </c>
      <c r="C8" s="118"/>
      <c r="F8" s="56"/>
      <c r="H8" s="3"/>
      <c r="O8" s="10"/>
      <c r="P8" s="10"/>
      <c r="XFC8" s="119">
        <v>45843</v>
      </c>
      <c r="XFD8" s="113">
        <v>45815</v>
      </c>
    </row>
    <row r="9" spans="1:16 16383:16384" ht="15.75" customHeight="1" x14ac:dyDescent="0.2">
      <c r="A9" s="92" t="s">
        <v>0</v>
      </c>
      <c r="B9" s="76">
        <v>6009</v>
      </c>
      <c r="C9">
        <f>storage!B9</f>
        <v>6509</v>
      </c>
      <c r="D9" s="153" t="s">
        <v>707</v>
      </c>
      <c r="E9" s="154"/>
      <c r="F9" s="56"/>
      <c r="H9" s="3"/>
      <c r="O9" s="10"/>
      <c r="P9" s="10"/>
      <c r="XFC9" s="119">
        <v>45844</v>
      </c>
      <c r="XFD9" s="113">
        <v>45816</v>
      </c>
    </row>
    <row r="10" spans="1:16 16383:16384" ht="15.75" customHeight="1" x14ac:dyDescent="0.2">
      <c r="A10" s="109" t="s">
        <v>669</v>
      </c>
      <c r="B10" s="24">
        <v>6535</v>
      </c>
      <c r="F10" s="56"/>
      <c r="H10" s="3"/>
      <c r="O10" s="10"/>
      <c r="P10" s="10"/>
      <c r="XFC10" s="119">
        <v>45845</v>
      </c>
      <c r="XFD10" s="113">
        <v>45817</v>
      </c>
    </row>
    <row r="11" spans="1:16 16383:16384" ht="15.75" customHeight="1" x14ac:dyDescent="0.2">
      <c r="A11" s="109" t="s">
        <v>670</v>
      </c>
      <c r="B11" s="24">
        <v>4904</v>
      </c>
      <c r="F11" s="56"/>
      <c r="H11" s="3"/>
      <c r="O11" s="10"/>
      <c r="P11" s="10"/>
      <c r="XFC11" s="119">
        <v>45846</v>
      </c>
      <c r="XFD11" s="113">
        <v>45818</v>
      </c>
    </row>
    <row r="12" spans="1:16 16383:16384" ht="15.75" customHeight="1" x14ac:dyDescent="0.2">
      <c r="A12" s="91" t="s">
        <v>649</v>
      </c>
      <c r="B12" s="111">
        <v>8.0489671002295329E-2</v>
      </c>
      <c r="C12" s="41">
        <v>0.3</v>
      </c>
      <c r="D12" s="158"/>
      <c r="E12" s="158"/>
      <c r="F12" s="56"/>
      <c r="H12" s="3"/>
      <c r="O12" s="10"/>
      <c r="P12" s="10"/>
      <c r="XFC12" s="119">
        <v>45847</v>
      </c>
      <c r="XFD12" s="113">
        <v>45819</v>
      </c>
    </row>
    <row r="13" spans="1:16 16383:16384" ht="15.75" customHeight="1" x14ac:dyDescent="0.2">
      <c r="A13" s="10" t="s">
        <v>106</v>
      </c>
      <c r="B13" s="99">
        <v>4667</v>
      </c>
      <c r="D13" s="82"/>
      <c r="F13" s="56"/>
      <c r="H13" s="3"/>
      <c r="O13" s="10"/>
      <c r="P13" s="10"/>
      <c r="XFC13" s="119">
        <v>45848</v>
      </c>
      <c r="XFD13" s="113">
        <v>45820</v>
      </c>
    </row>
    <row r="14" spans="1:16 16383:16384" ht="15.75" customHeight="1" x14ac:dyDescent="0.2">
      <c r="A14" s="10" t="s">
        <v>107</v>
      </c>
      <c r="B14" s="99">
        <v>300</v>
      </c>
      <c r="C14" s="91"/>
      <c r="D14" s="82"/>
      <c r="F14" s="56"/>
      <c r="H14" s="3"/>
      <c r="O14" s="10"/>
      <c r="P14" s="10"/>
      <c r="XFC14" s="119">
        <v>45849</v>
      </c>
      <c r="XFD14" s="113">
        <v>45821</v>
      </c>
    </row>
    <row r="15" spans="1:16 16383:16384" ht="15.75" customHeight="1" x14ac:dyDescent="0.2">
      <c r="A15" s="91" t="s">
        <v>108</v>
      </c>
      <c r="B15" s="82">
        <v>1643</v>
      </c>
      <c r="C15" s="91"/>
      <c r="D15" s="82"/>
      <c r="F15" s="56"/>
      <c r="H15" s="3"/>
      <c r="O15" s="10"/>
      <c r="P15" s="10"/>
      <c r="XFC15" s="119">
        <v>45850</v>
      </c>
      <c r="XFD15" s="113">
        <v>45822</v>
      </c>
    </row>
    <row r="16" spans="1:16 16383:16384" ht="15.75" customHeight="1" x14ac:dyDescent="0.2">
      <c r="B16" s="82"/>
      <c r="C16" s="91"/>
      <c r="D16" s="121"/>
      <c r="F16" s="56"/>
      <c r="H16" s="3"/>
      <c r="O16" s="10"/>
      <c r="P16" s="10"/>
      <c r="XFC16" s="119">
        <v>45851</v>
      </c>
      <c r="XFD16" s="113">
        <v>45823</v>
      </c>
    </row>
    <row r="17" spans="1:20 16383:16384" ht="15.75" customHeight="1" x14ac:dyDescent="0.2">
      <c r="A17" s="152" t="s">
        <v>44</v>
      </c>
      <c r="B17" s="152"/>
      <c r="C17" s="152"/>
      <c r="D17" s="82"/>
      <c r="F17" s="56"/>
      <c r="H17" s="3"/>
      <c r="O17" s="10"/>
      <c r="P17" s="10"/>
      <c r="XFC17" s="119">
        <v>45852</v>
      </c>
      <c r="XFD17" s="113">
        <v>45824</v>
      </c>
    </row>
    <row r="18" spans="1:20 16383:16384" ht="15.75" customHeight="1" x14ac:dyDescent="0.2">
      <c r="A18" s="91" t="s">
        <v>650</v>
      </c>
      <c r="B18" s="108">
        <v>0.9</v>
      </c>
      <c r="C18" s="110">
        <v>1</v>
      </c>
      <c r="D18" s="155"/>
      <c r="E18" s="156"/>
      <c r="F18" s="56"/>
      <c r="H18" s="3"/>
      <c r="O18" s="10"/>
      <c r="P18" s="10"/>
      <c r="XFC18" s="119">
        <v>45853</v>
      </c>
      <c r="XFD18" s="113">
        <v>45825</v>
      </c>
    </row>
    <row r="19" spans="1:20 16383:16384" ht="15.75" customHeight="1" x14ac:dyDescent="0.2">
      <c r="A19" s="91" t="s">
        <v>651</v>
      </c>
      <c r="B19" s="108">
        <v>0</v>
      </c>
      <c r="C19" s="110">
        <v>0</v>
      </c>
      <c r="D19" s="155"/>
      <c r="E19" s="156"/>
      <c r="F19" s="56"/>
      <c r="H19" s="3"/>
      <c r="O19" s="10"/>
      <c r="P19" s="10"/>
      <c r="XFC19" s="119">
        <v>45854</v>
      </c>
      <c r="XFD19" s="113">
        <v>45826</v>
      </c>
    </row>
    <row r="20" spans="1:20 16383:16384" ht="15.75" customHeight="1" x14ac:dyDescent="0.2">
      <c r="A20" s="91" t="s">
        <v>652</v>
      </c>
      <c r="B20" s="108">
        <v>0.9</v>
      </c>
      <c r="C20" s="110">
        <v>0.8</v>
      </c>
      <c r="D20" s="157" t="s">
        <v>671</v>
      </c>
      <c r="E20" s="156"/>
      <c r="F20" s="56"/>
      <c r="H20" s="3"/>
      <c r="O20" s="10"/>
      <c r="P20" s="10"/>
      <c r="XFC20" s="119">
        <v>45855</v>
      </c>
      <c r="XFD20" s="113">
        <v>45827</v>
      </c>
    </row>
    <row r="21" spans="1:20 16383:16384" ht="15.75" customHeight="1" x14ac:dyDescent="0.2">
      <c r="A21" s="10" t="s">
        <v>653</v>
      </c>
      <c r="B21" s="99">
        <v>7</v>
      </c>
      <c r="C21" s="10">
        <v>10</v>
      </c>
      <c r="D21" s="155"/>
      <c r="E21" s="156"/>
      <c r="F21" s="56"/>
      <c r="H21" s="3"/>
      <c r="O21" s="10"/>
      <c r="P21" s="10"/>
      <c r="XFC21" s="119">
        <v>45856</v>
      </c>
      <c r="XFD21" s="113">
        <v>45828</v>
      </c>
    </row>
    <row r="22" spans="1:20 16383:16384" ht="15.75" customHeight="1" x14ac:dyDescent="0.2">
      <c r="A22" s="91" t="s">
        <v>654</v>
      </c>
      <c r="B22" s="108">
        <v>0.1</v>
      </c>
      <c r="C22" s="110">
        <v>0.15</v>
      </c>
      <c r="D22" s="155"/>
      <c r="E22" s="156"/>
      <c r="F22" s="56"/>
      <c r="H22" s="3"/>
      <c r="O22" s="10"/>
      <c r="P22" s="10"/>
      <c r="XFC22" s="119">
        <v>45857</v>
      </c>
      <c r="XFD22" s="113">
        <v>45829</v>
      </c>
    </row>
    <row r="23" spans="1:20 16383:16384" ht="15.75" customHeight="1" x14ac:dyDescent="0.2">
      <c r="A23" s="10" t="s">
        <v>655</v>
      </c>
      <c r="B23" s="99">
        <v>9</v>
      </c>
      <c r="C23" s="10">
        <v>7</v>
      </c>
      <c r="D23" s="157" t="s">
        <v>672</v>
      </c>
      <c r="E23" s="156"/>
      <c r="F23" s="56"/>
      <c r="H23" s="3"/>
      <c r="O23" s="10"/>
      <c r="P23" s="10"/>
      <c r="XFC23" s="119">
        <v>45858</v>
      </c>
      <c r="XFD23" s="113">
        <v>45830</v>
      </c>
    </row>
    <row r="24" spans="1:20 16383:16384" ht="15.75" customHeight="1" x14ac:dyDescent="0.2">
      <c r="A24" s="91" t="s">
        <v>656</v>
      </c>
      <c r="B24" s="108">
        <v>0</v>
      </c>
      <c r="C24" s="110">
        <v>0.05</v>
      </c>
      <c r="D24" s="155"/>
      <c r="E24" s="156"/>
      <c r="F24" s="56"/>
      <c r="H24" s="3"/>
      <c r="O24" s="10"/>
      <c r="P24" s="10"/>
      <c r="XFC24" s="119">
        <v>45859</v>
      </c>
      <c r="XFD24" s="113">
        <v>45831</v>
      </c>
    </row>
    <row r="25" spans="1:20 16383:16384" ht="15.75" customHeight="1" x14ac:dyDescent="0.2">
      <c r="A25" s="10" t="s">
        <v>657</v>
      </c>
      <c r="B25" s="99">
        <v>1</v>
      </c>
      <c r="C25" s="10">
        <v>3</v>
      </c>
      <c r="D25" s="155"/>
      <c r="E25" s="156"/>
      <c r="F25" s="56"/>
      <c r="H25" s="3"/>
      <c r="O25" s="10"/>
      <c r="P25" s="10"/>
      <c r="XFC25" s="119">
        <v>45860</v>
      </c>
      <c r="XFD25" s="113">
        <v>45832</v>
      </c>
    </row>
    <row r="26" spans="1:20 16383:16384" ht="15.75" customHeight="1" x14ac:dyDescent="0.2">
      <c r="A26" s="10"/>
      <c r="B26" s="99"/>
      <c r="C26" s="91"/>
      <c r="D26" s="82"/>
      <c r="E26" s="82"/>
      <c r="F26" s="56"/>
      <c r="H26" s="3"/>
      <c r="O26" s="10"/>
      <c r="P26" s="10"/>
      <c r="XFC26" s="119">
        <v>45861</v>
      </c>
      <c r="XFD26" s="113"/>
    </row>
    <row r="27" spans="1:20 16383:16384" ht="15.75" customHeight="1" x14ac:dyDescent="0.2">
      <c r="A27" s="10"/>
      <c r="B27" s="99"/>
      <c r="C27" s="91"/>
      <c r="D27" s="82"/>
      <c r="E27" s="82"/>
      <c r="F27" s="56"/>
      <c r="H27" s="3"/>
      <c r="O27" s="10"/>
      <c r="P27" s="10"/>
      <c r="XFC27" s="119">
        <v>45862</v>
      </c>
      <c r="XFD27" s="113"/>
    </row>
    <row r="28" spans="1:20 16383:16384" ht="15.75" customHeight="1" x14ac:dyDescent="0.2">
      <c r="A28" s="122" t="s">
        <v>674</v>
      </c>
      <c r="B28" s="99"/>
      <c r="C28" s="91"/>
      <c r="D28" s="82"/>
      <c r="E28" s="82"/>
      <c r="F28" s="56"/>
      <c r="H28" s="3"/>
      <c r="O28" s="10"/>
      <c r="P28" s="10"/>
      <c r="XFC28" s="119">
        <v>45863</v>
      </c>
      <c r="XFD28" s="113"/>
    </row>
    <row r="29" spans="1:20 16383:16384" ht="15.75" customHeight="1" x14ac:dyDescent="0.2">
      <c r="A29" s="152" t="s">
        <v>126</v>
      </c>
      <c r="B29" s="152"/>
      <c r="C29" s="152"/>
      <c r="D29" s="82"/>
      <c r="E29" s="82"/>
      <c r="F29" s="56"/>
      <c r="H29" s="3"/>
      <c r="O29" s="10"/>
      <c r="P29" s="10"/>
      <c r="XFC29" s="119">
        <v>45864</v>
      </c>
      <c r="XFD29" s="113"/>
    </row>
    <row r="30" spans="1:20 16383:16384" ht="31.5" customHeight="1" x14ac:dyDescent="0.2">
      <c r="A30" s="11" t="s">
        <v>121</v>
      </c>
      <c r="B30" s="11" t="s">
        <v>111</v>
      </c>
      <c r="C30" s="11" t="s">
        <v>122</v>
      </c>
      <c r="D30" s="11" t="s">
        <v>123</v>
      </c>
      <c r="E30" s="11" t="s">
        <v>124</v>
      </c>
      <c r="F30" s="11" t="s">
        <v>125</v>
      </c>
      <c r="G30" s="11" t="s">
        <v>715</v>
      </c>
      <c r="H30" s="11" t="s">
        <v>127</v>
      </c>
      <c r="I30" s="11" t="s">
        <v>128</v>
      </c>
      <c r="J30" s="11" t="s">
        <v>129</v>
      </c>
      <c r="K30" s="11" t="s">
        <v>130</v>
      </c>
      <c r="L30" s="11" t="s">
        <v>133</v>
      </c>
      <c r="M30" s="11" t="s">
        <v>132</v>
      </c>
      <c r="N30" s="11" t="s">
        <v>668</v>
      </c>
      <c r="O30" s="11" t="s">
        <v>134</v>
      </c>
      <c r="P30" s="11" t="s">
        <v>136</v>
      </c>
      <c r="Q30" s="34" t="s">
        <v>135</v>
      </c>
      <c r="R30" s="34" t="s">
        <v>709</v>
      </c>
      <c r="S30" s="34" t="s">
        <v>710</v>
      </c>
      <c r="XFC30" s="119">
        <v>45865</v>
      </c>
      <c r="XFD30" s="113">
        <v>45834</v>
      </c>
    </row>
    <row r="31" spans="1:20 16383:16384" ht="15.75" customHeight="1" x14ac:dyDescent="0.2">
      <c r="A31" s="80" t="s">
        <v>155</v>
      </c>
      <c r="B31" s="80" t="s">
        <v>34</v>
      </c>
      <c r="C31" s="142">
        <v>45383</v>
      </c>
      <c r="D31" s="143"/>
      <c r="E31" s="177">
        <v>0.65500000000000003</v>
      </c>
      <c r="F31" s="165">
        <v>1888</v>
      </c>
      <c r="G31" s="144">
        <v>2881.33</v>
      </c>
      <c r="H31" s="139">
        <v>4215.07</v>
      </c>
      <c r="I31" s="177">
        <v>0</v>
      </c>
      <c r="J31" s="135">
        <v>0</v>
      </c>
      <c r="K31" s="123"/>
      <c r="L31" s="184">
        <v>0.65500000000000003</v>
      </c>
      <c r="M31" s="145">
        <v>2761</v>
      </c>
      <c r="N31" s="146">
        <v>0.45945534334916094</v>
      </c>
      <c r="O31" s="133">
        <v>874</v>
      </c>
      <c r="P31" s="134">
        <v>0.46289234608657615</v>
      </c>
      <c r="Q31" s="78" t="s">
        <v>60</v>
      </c>
      <c r="T31" s="56"/>
      <c r="XFC31" s="119">
        <v>45866</v>
      </c>
      <c r="XFD31" s="113">
        <v>45835</v>
      </c>
    </row>
    <row r="32" spans="1:20 16383:16384" ht="15.75" customHeight="1" x14ac:dyDescent="0.2">
      <c r="A32" s="80" t="s">
        <v>155</v>
      </c>
      <c r="B32" s="161" t="s">
        <v>35</v>
      </c>
      <c r="C32" s="142">
        <v>45870</v>
      </c>
      <c r="D32" s="142"/>
      <c r="E32" s="177">
        <v>4.4459999999999997</v>
      </c>
      <c r="F32" s="165">
        <v>758</v>
      </c>
      <c r="G32" s="144">
        <v>170.44</v>
      </c>
      <c r="H32" s="123">
        <v>212.75</v>
      </c>
      <c r="I32" s="184">
        <v>0</v>
      </c>
      <c r="J32" s="145">
        <v>0</v>
      </c>
      <c r="K32" s="144"/>
      <c r="L32" s="177">
        <v>4.4459999999999997</v>
      </c>
      <c r="M32" s="186">
        <v>946</v>
      </c>
      <c r="N32" s="188">
        <v>0.15742294632680415</v>
      </c>
      <c r="O32" s="138">
        <v>188</v>
      </c>
      <c r="P32" s="134">
        <v>0.24826885769826815</v>
      </c>
      <c r="Q32" s="78" t="s">
        <v>60</v>
      </c>
      <c r="T32" s="56"/>
      <c r="XFC32" s="119">
        <v>45867</v>
      </c>
      <c r="XFD32" s="113">
        <v>45836</v>
      </c>
    </row>
    <row r="33" spans="1:20 16383:16384" ht="15" customHeight="1" x14ac:dyDescent="0.2">
      <c r="A33" s="193" t="s">
        <v>155</v>
      </c>
      <c r="B33" s="161" t="s">
        <v>78</v>
      </c>
      <c r="C33" s="181">
        <v>45870</v>
      </c>
      <c r="D33" s="181"/>
      <c r="E33" s="176">
        <v>0.58599999999999997</v>
      </c>
      <c r="F33" s="182">
        <v>444</v>
      </c>
      <c r="G33" s="183">
        <v>757.8</v>
      </c>
      <c r="H33" s="183">
        <v>1029.79</v>
      </c>
      <c r="I33" s="176">
        <v>0</v>
      </c>
      <c r="J33" s="99">
        <v>0</v>
      </c>
      <c r="K33" s="141"/>
      <c r="L33" s="185">
        <v>0.58599999999999997</v>
      </c>
      <c r="M33" s="182">
        <v>604</v>
      </c>
      <c r="N33" s="187">
        <v>0.10051105663994683</v>
      </c>
      <c r="O33" s="189">
        <v>159</v>
      </c>
      <c r="P33" s="191">
        <v>0.35892055951438373</v>
      </c>
      <c r="Q33" s="78" t="s">
        <v>60</v>
      </c>
      <c r="XFC33" s="119">
        <v>45868</v>
      </c>
      <c r="XFD33" s="113">
        <v>45837</v>
      </c>
    </row>
    <row r="34" spans="1:20 16383:16384" ht="15.75" customHeight="1" x14ac:dyDescent="0.2">
      <c r="A34" s="148" t="s">
        <v>155</v>
      </c>
      <c r="B34" s="148" t="s">
        <v>37</v>
      </c>
      <c r="C34" s="163">
        <v>45870</v>
      </c>
      <c r="D34" s="163"/>
      <c r="E34" s="177">
        <v>408.81</v>
      </c>
      <c r="F34" s="165">
        <v>292</v>
      </c>
      <c r="G34" s="139">
        <v>0.71</v>
      </c>
      <c r="H34" s="166">
        <v>0.80610000000000004</v>
      </c>
      <c r="I34" s="177">
        <v>0</v>
      </c>
      <c r="J34" s="135">
        <v>0</v>
      </c>
      <c r="K34" s="123"/>
      <c r="L34" s="180">
        <v>408.81</v>
      </c>
      <c r="M34" s="165">
        <v>330</v>
      </c>
      <c r="N34" s="170">
        <v>5.4914981276792146E-2</v>
      </c>
      <c r="O34" s="172">
        <v>38</v>
      </c>
      <c r="P34" s="174">
        <v>0.1288334967091444</v>
      </c>
      <c r="Q34" s="78" t="s">
        <v>60</v>
      </c>
      <c r="XFC34" s="119">
        <v>45869</v>
      </c>
      <c r="XFD34" s="113">
        <v>45838</v>
      </c>
    </row>
    <row r="35" spans="1:20 16383:16384" ht="15.75" customHeight="1" x14ac:dyDescent="0.2">
      <c r="A35" s="80" t="s">
        <v>155</v>
      </c>
      <c r="B35" s="80" t="s">
        <v>149</v>
      </c>
      <c r="C35" s="163">
        <v>45909</v>
      </c>
      <c r="D35" s="163"/>
      <c r="E35" s="177">
        <v>193.87</v>
      </c>
      <c r="F35" s="165">
        <v>300</v>
      </c>
      <c r="G35" s="139">
        <v>1.55</v>
      </c>
      <c r="H35" s="166">
        <v>1.9191</v>
      </c>
      <c r="I35" s="177">
        <v>112</v>
      </c>
      <c r="J35" s="135">
        <v>185</v>
      </c>
      <c r="K35" s="123">
        <v>1.65</v>
      </c>
      <c r="L35" s="180">
        <v>81.87</v>
      </c>
      <c r="M35" s="165">
        <v>157</v>
      </c>
      <c r="N35" s="170">
        <v>2.6126218365019296E-2</v>
      </c>
      <c r="O35" s="172">
        <v>42</v>
      </c>
      <c r="P35" s="174">
        <v>0.13935506106783838</v>
      </c>
      <c r="Q35" s="78" t="s">
        <v>137</v>
      </c>
      <c r="T35" s="56"/>
      <c r="XFC35" s="119">
        <v>45870</v>
      </c>
      <c r="XFD35" s="113">
        <v>45839</v>
      </c>
    </row>
    <row r="36" spans="1:20 16383:16384" ht="15.75" customHeight="1" x14ac:dyDescent="0.2">
      <c r="A36" s="80" t="s">
        <v>155</v>
      </c>
      <c r="B36" s="80" t="s">
        <v>77</v>
      </c>
      <c r="C36" s="163">
        <v>45870</v>
      </c>
      <c r="D36" s="163"/>
      <c r="E36" s="177">
        <v>93.75</v>
      </c>
      <c r="F36" s="165">
        <v>90</v>
      </c>
      <c r="G36" s="139">
        <v>0.96</v>
      </c>
      <c r="H36" s="166">
        <v>1.2789999999999999</v>
      </c>
      <c r="I36" s="177">
        <v>0</v>
      </c>
      <c r="J36" s="135">
        <v>0</v>
      </c>
      <c r="K36" s="123"/>
      <c r="L36" s="180">
        <v>93.75</v>
      </c>
      <c r="M36" s="165">
        <v>120</v>
      </c>
      <c r="N36" s="170">
        <v>1.996908410065169E-2</v>
      </c>
      <c r="O36" s="172">
        <v>30</v>
      </c>
      <c r="P36" s="174">
        <v>0.32676348547717826</v>
      </c>
      <c r="Q36" s="78" t="s">
        <v>66</v>
      </c>
      <c r="XFC36" s="119">
        <v>45871</v>
      </c>
      <c r="XFD36" s="113">
        <v>45840</v>
      </c>
    </row>
    <row r="37" spans="1:20 16383:16384" ht="15.75" customHeight="1" x14ac:dyDescent="0.2">
      <c r="A37" s="80" t="s">
        <v>155</v>
      </c>
      <c r="B37" s="80" t="s">
        <v>150</v>
      </c>
      <c r="C37" s="163">
        <v>45909</v>
      </c>
      <c r="D37" s="163"/>
      <c r="E37" s="177">
        <v>1.97</v>
      </c>
      <c r="F37" s="165">
        <v>100</v>
      </c>
      <c r="G37" s="139">
        <v>50.74</v>
      </c>
      <c r="H37" s="166">
        <v>46.17</v>
      </c>
      <c r="I37" s="177">
        <v>0</v>
      </c>
      <c r="J37" s="135">
        <v>0</v>
      </c>
      <c r="K37" s="123"/>
      <c r="L37" s="180">
        <v>1.97</v>
      </c>
      <c r="M37" s="165">
        <v>91</v>
      </c>
      <c r="N37" s="170">
        <v>1.5143222109660865E-2</v>
      </c>
      <c r="O37" s="173">
        <v>-9</v>
      </c>
      <c r="P37" s="175">
        <v>-9.006700827749306E-2</v>
      </c>
      <c r="Q37" s="78" t="s">
        <v>137</v>
      </c>
      <c r="XFC37" s="119">
        <v>45872</v>
      </c>
      <c r="XFD37" s="113">
        <v>45841</v>
      </c>
    </row>
    <row r="38" spans="1:20 16383:16384" ht="15.75" customHeight="1" x14ac:dyDescent="0.2">
      <c r="A38" s="80" t="s">
        <v>155</v>
      </c>
      <c r="B38" s="80" t="s">
        <v>99</v>
      </c>
      <c r="C38" s="163">
        <v>45870</v>
      </c>
      <c r="D38" s="163"/>
      <c r="E38" s="177">
        <v>25.1</v>
      </c>
      <c r="F38" s="165">
        <v>87</v>
      </c>
      <c r="G38" s="139">
        <v>3.45</v>
      </c>
      <c r="H38" s="166">
        <v>3.2804000000000002</v>
      </c>
      <c r="I38" s="177">
        <v>0</v>
      </c>
      <c r="J38" s="135">
        <v>0</v>
      </c>
      <c r="K38" s="123"/>
      <c r="L38" s="180">
        <v>25.1</v>
      </c>
      <c r="M38" s="165">
        <v>82</v>
      </c>
      <c r="N38" s="170">
        <v>1.3645540802111987E-2</v>
      </c>
      <c r="O38" s="173">
        <v>-4</v>
      </c>
      <c r="P38" s="175">
        <v>-4.9159420289855142E-2</v>
      </c>
      <c r="Q38" s="78" t="s">
        <v>60</v>
      </c>
      <c r="XFC38" s="119">
        <v>45873</v>
      </c>
      <c r="XFD38" s="113">
        <v>45842</v>
      </c>
    </row>
    <row r="39" spans="1:20 16383:16384" ht="15.75" customHeight="1" x14ac:dyDescent="0.2">
      <c r="A39" s="80" t="s">
        <v>155</v>
      </c>
      <c r="B39" s="80" t="s">
        <v>109</v>
      </c>
      <c r="C39" s="163">
        <v>45870</v>
      </c>
      <c r="D39" s="163"/>
      <c r="E39" s="177">
        <v>76.02</v>
      </c>
      <c r="F39" s="165">
        <v>68</v>
      </c>
      <c r="G39" s="139">
        <v>0.89</v>
      </c>
      <c r="H39" s="166">
        <v>0.89329999999999998</v>
      </c>
      <c r="I39" s="177">
        <v>0</v>
      </c>
      <c r="J39" s="135">
        <v>0</v>
      </c>
      <c r="K39" s="123"/>
      <c r="L39" s="180">
        <v>76.02</v>
      </c>
      <c r="M39" s="165">
        <v>68</v>
      </c>
      <c r="N39" s="170">
        <v>1.1315814323702624E-2</v>
      </c>
      <c r="O39" s="165">
        <v>0</v>
      </c>
      <c r="P39" s="174">
        <v>3.8206540060680009E-3</v>
      </c>
      <c r="Q39" s="78" t="s">
        <v>66</v>
      </c>
      <c r="XFC39" s="119">
        <v>45874</v>
      </c>
      <c r="XFD39" s="113">
        <v>45843</v>
      </c>
    </row>
    <row r="40" spans="1:20 16383:16384" ht="15.75" customHeight="1" x14ac:dyDescent="0.2">
      <c r="A40" s="14" t="s">
        <v>155</v>
      </c>
      <c r="B40" s="80" t="s">
        <v>88</v>
      </c>
      <c r="C40" s="181">
        <v>45870</v>
      </c>
      <c r="D40" s="181"/>
      <c r="E40" s="176">
        <v>2.5</v>
      </c>
      <c r="F40" s="182">
        <v>40</v>
      </c>
      <c r="G40" s="137">
        <v>16.07</v>
      </c>
      <c r="H40" s="141">
        <v>21.74</v>
      </c>
      <c r="I40" s="185">
        <v>0</v>
      </c>
      <c r="J40" s="182">
        <v>0</v>
      </c>
      <c r="K40" s="183"/>
      <c r="L40" s="176">
        <v>2.5</v>
      </c>
      <c r="M40" s="182">
        <v>54</v>
      </c>
      <c r="N40" s="187">
        <v>8.986087845293261E-3</v>
      </c>
      <c r="O40" s="189">
        <v>14</v>
      </c>
      <c r="P40" s="191">
        <v>0.3528313627878033</v>
      </c>
      <c r="Q40" s="78" t="s">
        <v>66</v>
      </c>
      <c r="XFC40" s="119">
        <v>45875</v>
      </c>
      <c r="XFD40" s="113">
        <v>45844</v>
      </c>
    </row>
    <row r="41" spans="1:20 16383:16384" ht="15.75" customHeight="1" x14ac:dyDescent="0.2">
      <c r="A41" s="14" t="s">
        <v>155</v>
      </c>
      <c r="B41" s="80" t="s">
        <v>83</v>
      </c>
      <c r="C41" s="181">
        <v>45870</v>
      </c>
      <c r="D41" s="181"/>
      <c r="E41" s="176">
        <v>2059</v>
      </c>
      <c r="F41" s="182">
        <v>47</v>
      </c>
      <c r="G41" s="137">
        <v>0.02</v>
      </c>
      <c r="H41" s="183">
        <v>2.205E-2</v>
      </c>
      <c r="I41" s="176">
        <v>0</v>
      </c>
      <c r="J41" s="99">
        <v>0</v>
      </c>
      <c r="K41" s="141"/>
      <c r="L41" s="185">
        <v>2059</v>
      </c>
      <c r="M41" s="182">
        <v>45</v>
      </c>
      <c r="N41" s="187">
        <v>7.4884065377443833E-3</v>
      </c>
      <c r="O41" s="190">
        <v>-1</v>
      </c>
      <c r="P41" s="192">
        <v>-2.433628318584068E-2</v>
      </c>
      <c r="Q41" s="78" t="s">
        <v>60</v>
      </c>
      <c r="S41" s="23"/>
      <c r="XFC41" s="119">
        <v>45876</v>
      </c>
      <c r="XFD41" s="113">
        <v>45845</v>
      </c>
    </row>
    <row r="42" spans="1:20 16383:16384" ht="15.75" customHeight="1" x14ac:dyDescent="0.2">
      <c r="A42" s="77" t="s">
        <v>155</v>
      </c>
      <c r="B42" s="77" t="s">
        <v>81</v>
      </c>
      <c r="C42" s="164">
        <v>45870</v>
      </c>
      <c r="D42" s="194"/>
      <c r="E42" s="177">
        <v>146.86000000000001</v>
      </c>
      <c r="F42" s="145">
        <v>35</v>
      </c>
      <c r="G42" s="140">
        <v>0.24</v>
      </c>
      <c r="H42" s="166">
        <v>0.20760000000000001</v>
      </c>
      <c r="I42" s="177">
        <v>0</v>
      </c>
      <c r="J42" s="135">
        <v>0</v>
      </c>
      <c r="K42" s="123"/>
      <c r="L42" s="180">
        <v>146.86000000000001</v>
      </c>
      <c r="M42" s="165">
        <v>30</v>
      </c>
      <c r="N42" s="170">
        <v>4.9922710251629225E-3</v>
      </c>
      <c r="O42" s="173">
        <v>-4</v>
      </c>
      <c r="P42" s="175">
        <v>-0.12071156289707752</v>
      </c>
      <c r="Q42" s="78" t="s">
        <v>60</v>
      </c>
      <c r="XFC42" s="119">
        <v>45877</v>
      </c>
      <c r="XFD42" s="113">
        <v>45846</v>
      </c>
    </row>
    <row r="43" spans="1:20 16383:16384" ht="15.75" customHeight="1" x14ac:dyDescent="0.2">
      <c r="A43" s="80" t="s">
        <v>155</v>
      </c>
      <c r="B43" s="81" t="s">
        <v>86</v>
      </c>
      <c r="C43" s="163">
        <v>45870</v>
      </c>
      <c r="D43" s="163"/>
      <c r="E43" s="177">
        <v>3.8220000000000001</v>
      </c>
      <c r="F43" s="145">
        <v>35</v>
      </c>
      <c r="G43" s="139">
        <v>9.0399999999999991</v>
      </c>
      <c r="H43" s="123">
        <v>7.7439999999999998</v>
      </c>
      <c r="I43" s="180">
        <v>0</v>
      </c>
      <c r="J43" s="165">
        <v>0</v>
      </c>
      <c r="K43" s="166"/>
      <c r="L43" s="177">
        <v>3.8220000000000001</v>
      </c>
      <c r="M43" s="165">
        <v>30</v>
      </c>
      <c r="N43" s="170">
        <v>4.9922710251629225E-3</v>
      </c>
      <c r="O43" s="173">
        <v>-5</v>
      </c>
      <c r="P43" s="175">
        <v>-0.14307845523957069</v>
      </c>
      <c r="Q43" s="78" t="s">
        <v>66</v>
      </c>
      <c r="XFC43" s="119">
        <v>45878</v>
      </c>
      <c r="XFD43" s="113">
        <v>45847</v>
      </c>
    </row>
    <row r="44" spans="1:20 16383:16384" ht="15.75" customHeight="1" x14ac:dyDescent="0.2">
      <c r="A44" s="80" t="s">
        <v>155</v>
      </c>
      <c r="B44" s="81" t="s">
        <v>87</v>
      </c>
      <c r="C44" s="163">
        <v>45870</v>
      </c>
      <c r="D44" s="163"/>
      <c r="E44" s="177">
        <v>2.3740000000000001</v>
      </c>
      <c r="F44" s="165">
        <v>30</v>
      </c>
      <c r="G44" s="166">
        <v>12.55</v>
      </c>
      <c r="H44" s="123">
        <v>12.07</v>
      </c>
      <c r="I44" s="180">
        <v>0</v>
      </c>
      <c r="J44" s="165">
        <v>0</v>
      </c>
      <c r="K44" s="166"/>
      <c r="L44" s="177">
        <v>2.3740000000000001</v>
      </c>
      <c r="M44" s="165">
        <v>29</v>
      </c>
      <c r="N44" s="170">
        <v>4.8258619909908249E-3</v>
      </c>
      <c r="O44" s="173">
        <v>-1</v>
      </c>
      <c r="P44" s="175">
        <v>-3.8247011952191261E-2</v>
      </c>
      <c r="Q44" s="78" t="s">
        <v>66</v>
      </c>
      <c r="XFC44" s="119">
        <v>45879</v>
      </c>
      <c r="XFD44" s="113">
        <v>45848</v>
      </c>
    </row>
    <row r="45" spans="1:20 16383:16384" ht="15.75" customHeight="1" x14ac:dyDescent="0.2">
      <c r="A45" s="14" t="s">
        <v>155</v>
      </c>
      <c r="B45" s="81" t="s">
        <v>41</v>
      </c>
      <c r="C45" s="181">
        <v>45913</v>
      </c>
      <c r="D45" s="181"/>
      <c r="E45" s="176">
        <v>69.8</v>
      </c>
      <c r="F45" s="182">
        <v>38</v>
      </c>
      <c r="G45" s="183">
        <v>0.54</v>
      </c>
      <c r="H45" s="141">
        <v>0.41749999999999998</v>
      </c>
      <c r="I45" s="185">
        <v>0</v>
      </c>
      <c r="J45" s="182">
        <v>0</v>
      </c>
      <c r="K45" s="183"/>
      <c r="L45" s="176">
        <v>69.8</v>
      </c>
      <c r="M45" s="182">
        <v>29</v>
      </c>
      <c r="N45" s="187">
        <v>4.8258619909908249E-3</v>
      </c>
      <c r="O45" s="190">
        <v>-9</v>
      </c>
      <c r="P45" s="192">
        <v>-0.22685185185185194</v>
      </c>
      <c r="Q45" s="78" t="s">
        <v>60</v>
      </c>
      <c r="XFC45" s="119">
        <v>45880</v>
      </c>
      <c r="XFD45" s="113">
        <v>45849</v>
      </c>
    </row>
    <row r="46" spans="1:20 16383:16384" ht="15.75" customHeight="1" x14ac:dyDescent="0.2">
      <c r="A46" s="14" t="s">
        <v>155</v>
      </c>
      <c r="B46" s="81" t="s">
        <v>80</v>
      </c>
      <c r="C46" s="181">
        <v>45870</v>
      </c>
      <c r="D46" s="181"/>
      <c r="E46" s="176">
        <v>9.89</v>
      </c>
      <c r="F46" s="182">
        <v>24</v>
      </c>
      <c r="G46" s="183">
        <v>2.41</v>
      </c>
      <c r="H46" s="183">
        <v>2.7749999999999999</v>
      </c>
      <c r="I46" s="176">
        <v>0</v>
      </c>
      <c r="J46" s="99">
        <v>0</v>
      </c>
      <c r="K46" s="141"/>
      <c r="L46" s="185">
        <v>9.89</v>
      </c>
      <c r="M46" s="182">
        <v>27</v>
      </c>
      <c r="N46" s="187">
        <v>4.4930439226466305E-3</v>
      </c>
      <c r="O46" s="189">
        <v>4</v>
      </c>
      <c r="P46" s="191">
        <v>0.14954432477216223</v>
      </c>
      <c r="Q46" s="78" t="s">
        <v>60</v>
      </c>
      <c r="XFC46" s="119">
        <v>45881</v>
      </c>
      <c r="XFD46" s="113">
        <v>45850</v>
      </c>
    </row>
    <row r="47" spans="1:20 16383:16384" ht="15.75" customHeight="1" x14ac:dyDescent="0.2">
      <c r="A47" s="14" t="s">
        <v>155</v>
      </c>
      <c r="B47" s="81" t="s">
        <v>85</v>
      </c>
      <c r="C47" s="181">
        <v>45870</v>
      </c>
      <c r="D47" s="181"/>
      <c r="E47" s="176">
        <v>3.3</v>
      </c>
      <c r="F47" s="182">
        <v>23</v>
      </c>
      <c r="G47" s="183">
        <v>6.94</v>
      </c>
      <c r="H47" s="183">
        <v>5.6</v>
      </c>
      <c r="I47" s="176">
        <v>0</v>
      </c>
      <c r="J47" s="99">
        <v>0</v>
      </c>
      <c r="K47" s="141"/>
      <c r="L47" s="185">
        <v>3.3</v>
      </c>
      <c r="M47" s="182">
        <v>18</v>
      </c>
      <c r="N47" s="187">
        <v>2.9953626150977537E-3</v>
      </c>
      <c r="O47" s="190">
        <v>-4</v>
      </c>
      <c r="P47" s="192">
        <v>-0.19308357348703187</v>
      </c>
      <c r="Q47" s="78" t="s">
        <v>66</v>
      </c>
      <c r="XFC47" s="119">
        <v>45882</v>
      </c>
      <c r="XFD47" s="113"/>
    </row>
    <row r="48" spans="1:20 16383:16384" ht="15.75" customHeight="1" x14ac:dyDescent="0.2">
      <c r="A48" s="80" t="s">
        <v>501</v>
      </c>
      <c r="B48" s="81" t="s">
        <v>48</v>
      </c>
      <c r="C48" s="163">
        <v>45396</v>
      </c>
      <c r="D48" s="163">
        <v>45750</v>
      </c>
      <c r="E48" s="177">
        <v>2.4E-2</v>
      </c>
      <c r="F48" s="165">
        <v>1404</v>
      </c>
      <c r="G48" s="166">
        <v>59220.88</v>
      </c>
      <c r="H48" s="166"/>
      <c r="I48" s="177">
        <v>2.4E-2</v>
      </c>
      <c r="J48" s="135">
        <v>2123</v>
      </c>
      <c r="K48" s="123">
        <v>89216.71</v>
      </c>
      <c r="L48" s="180">
        <v>0</v>
      </c>
      <c r="M48" s="165">
        <v>0</v>
      </c>
      <c r="N48" s="170"/>
      <c r="O48" s="172">
        <v>720</v>
      </c>
      <c r="P48" s="174">
        <v>0.51274918957125126</v>
      </c>
      <c r="Q48" s="78" t="s">
        <v>60</v>
      </c>
      <c r="XFC48" s="119">
        <v>45883</v>
      </c>
      <c r="XFD48" s="113"/>
    </row>
    <row r="49" spans="1:17 16383:16384" ht="15.75" customHeight="1" x14ac:dyDescent="0.2">
      <c r="A49" s="77" t="s">
        <v>501</v>
      </c>
      <c r="B49" s="162" t="s">
        <v>608</v>
      </c>
      <c r="C49" s="164">
        <v>45870</v>
      </c>
      <c r="D49" s="164">
        <v>45870</v>
      </c>
      <c r="E49" s="178">
        <v>387.7</v>
      </c>
      <c r="F49" s="168">
        <v>388</v>
      </c>
      <c r="G49" s="167">
        <v>1</v>
      </c>
      <c r="H49" s="151"/>
      <c r="I49" s="179">
        <v>387.7</v>
      </c>
      <c r="J49" s="168">
        <v>0</v>
      </c>
      <c r="K49" s="167">
        <v>0</v>
      </c>
      <c r="L49" s="178">
        <v>0</v>
      </c>
      <c r="M49" s="169">
        <v>0</v>
      </c>
      <c r="N49" s="171"/>
      <c r="O49" s="173">
        <v>-388</v>
      </c>
      <c r="P49" s="175">
        <v>-1</v>
      </c>
      <c r="Q49" s="78" t="s">
        <v>137</v>
      </c>
      <c r="XFC49" s="119">
        <v>45884</v>
      </c>
      <c r="XFD49" s="113"/>
    </row>
    <row r="50" spans="1:17 16383:16384" ht="15.75" customHeight="1" x14ac:dyDescent="0.2">
      <c r="C50" s="136"/>
      <c r="D50" s="136"/>
      <c r="F50" s="149"/>
      <c r="G50" s="70"/>
      <c r="H50" s="70"/>
      <c r="J50" s="149"/>
      <c r="K50" s="70"/>
      <c r="M50" s="149"/>
      <c r="N50" s="150"/>
      <c r="O50" s="99"/>
      <c r="P50" s="147"/>
      <c r="Q50" s="79"/>
      <c r="XFC50" s="119"/>
      <c r="XFD50" s="113"/>
    </row>
    <row r="51" spans="1:17 16383:16384" ht="15.75" customHeight="1" x14ac:dyDescent="0.2">
      <c r="F51" s="56"/>
      <c r="J51" s="56"/>
      <c r="M51" s="56"/>
      <c r="N51" s="56"/>
      <c r="Q51" s="79"/>
      <c r="XFC51" s="119">
        <v>45886</v>
      </c>
      <c r="XFD51" s="113"/>
    </row>
    <row r="52" spans="1:17 16383:16384" ht="15.75" customHeight="1" x14ac:dyDescent="0.2">
      <c r="F52" s="56"/>
      <c r="J52" s="56"/>
      <c r="M52" s="56"/>
      <c r="N52" s="56"/>
      <c r="XFC52" s="119">
        <v>45887</v>
      </c>
      <c r="XFD52" s="113"/>
    </row>
    <row r="53" spans="1:17 16383:16384" ht="15.75" customHeight="1" x14ac:dyDescent="0.2">
      <c r="C53" s="48"/>
      <c r="F53" s="63"/>
      <c r="J53" s="63"/>
      <c r="M53" s="63"/>
      <c r="N53" s="63"/>
      <c r="XFC53" s="119">
        <v>45888</v>
      </c>
      <c r="XFD53" s="113"/>
    </row>
    <row r="54" spans="1:17 16383:16384" ht="15.75" customHeight="1" x14ac:dyDescent="0.2">
      <c r="C54" s="48"/>
      <c r="F54" s="56"/>
      <c r="J54" s="62"/>
      <c r="M54" s="56"/>
      <c r="N54" s="56"/>
      <c r="XFC54" s="119">
        <v>45889</v>
      </c>
      <c r="XFD54" s="113">
        <v>45858</v>
      </c>
    </row>
    <row r="55" spans="1:17 16383:16384" ht="15.75" customHeight="1" x14ac:dyDescent="0.2">
      <c r="C55" s="48"/>
      <c r="F55" s="56"/>
      <c r="J55" s="62"/>
      <c r="M55" s="56"/>
      <c r="N55" s="56"/>
      <c r="XFC55" s="119">
        <v>45890</v>
      </c>
      <c r="XFD55" s="113">
        <v>45859</v>
      </c>
    </row>
    <row r="56" spans="1:17 16383:16384" ht="15.75" customHeight="1" x14ac:dyDescent="0.2">
      <c r="C56" s="48"/>
      <c r="F56" s="56"/>
      <c r="J56" s="62"/>
      <c r="M56" s="56"/>
      <c r="N56" s="56"/>
      <c r="XFC56" s="119">
        <v>45891</v>
      </c>
      <c r="XFD56" s="113">
        <v>45860</v>
      </c>
    </row>
    <row r="57" spans="1:17 16383:16384" ht="15.75" customHeight="1" x14ac:dyDescent="0.2">
      <c r="J57" s="62"/>
      <c r="M57" s="62"/>
      <c r="N57" s="62"/>
      <c r="XFC57" s="119">
        <v>45892</v>
      </c>
      <c r="XFD57" s="113">
        <v>45861</v>
      </c>
    </row>
    <row r="58" spans="1:17 16383:16384" ht="15.75" customHeight="1" x14ac:dyDescent="0.2">
      <c r="J58" s="62"/>
      <c r="M58" s="62"/>
      <c r="N58" s="62"/>
      <c r="XFC58" s="119">
        <v>45893</v>
      </c>
      <c r="XFD58" s="113">
        <v>45862</v>
      </c>
    </row>
    <row r="59" spans="1:17 16383:16384" ht="15.75" customHeight="1" x14ac:dyDescent="0.2">
      <c r="F59" s="56"/>
      <c r="J59" s="62"/>
      <c r="M59" s="62"/>
      <c r="N59" s="62"/>
      <c r="XFC59" s="119">
        <v>45894</v>
      </c>
      <c r="XFD59" s="113">
        <v>45863</v>
      </c>
    </row>
    <row r="60" spans="1:17 16383:16384" ht="15.75" customHeight="1" x14ac:dyDescent="0.2">
      <c r="F60" s="56"/>
      <c r="M60" s="62"/>
      <c r="N60" s="62"/>
      <c r="XFC60" s="119">
        <v>45895</v>
      </c>
      <c r="XFD60" s="113">
        <v>45864</v>
      </c>
    </row>
    <row r="61" spans="1:17 16383:16384" ht="15.75" customHeight="1" x14ac:dyDescent="0.2">
      <c r="M61" s="62"/>
      <c r="N61" s="62"/>
      <c r="XFC61" s="119">
        <v>45896</v>
      </c>
      <c r="XFD61" s="113">
        <v>45865</v>
      </c>
    </row>
    <row r="62" spans="1:17 16383:16384" ht="15.75" customHeight="1" x14ac:dyDescent="0.2">
      <c r="M62" s="62"/>
      <c r="N62" s="62"/>
      <c r="XFC62" s="119">
        <v>45897</v>
      </c>
      <c r="XFD62" s="113">
        <v>45866</v>
      </c>
    </row>
    <row r="63" spans="1:17 16383:16384" ht="15.75" customHeight="1" x14ac:dyDescent="0.2">
      <c r="M63" s="62"/>
      <c r="N63" s="62"/>
      <c r="XFC63" s="119">
        <v>45898</v>
      </c>
      <c r="XFD63" s="113">
        <v>45867</v>
      </c>
    </row>
    <row r="64" spans="1:17 16383:16384" ht="15.75" customHeight="1" x14ac:dyDescent="0.2">
      <c r="M64" s="62"/>
      <c r="N64" s="62"/>
      <c r="XFC64" s="119">
        <v>45899</v>
      </c>
      <c r="XFD64" s="113">
        <v>45868</v>
      </c>
    </row>
    <row r="65" spans="13:14 16383:16384" ht="15.75" customHeight="1" x14ac:dyDescent="0.2">
      <c r="M65" s="62"/>
      <c r="N65" s="62"/>
      <c r="XFC65" s="119">
        <v>45900</v>
      </c>
      <c r="XFD65" s="113">
        <v>45869</v>
      </c>
    </row>
    <row r="66" spans="13:14 16383:16384" ht="15.75" customHeight="1" x14ac:dyDescent="0.2">
      <c r="M66" s="62"/>
      <c r="N66" s="62"/>
      <c r="XFC66" s="119">
        <v>45901</v>
      </c>
      <c r="XFD66" s="113">
        <v>45870</v>
      </c>
    </row>
    <row r="67" spans="13:14 16383:16384" ht="15.75" customHeight="1" x14ac:dyDescent="0.2">
      <c r="M67" s="62"/>
      <c r="N67" s="62"/>
      <c r="XFC67" s="119">
        <v>45902</v>
      </c>
      <c r="XFD67" s="113">
        <v>45871</v>
      </c>
    </row>
    <row r="68" spans="13:14 16383:16384" ht="15.75" customHeight="1" x14ac:dyDescent="0.2">
      <c r="M68" s="62"/>
      <c r="N68" s="62"/>
      <c r="XFC68" s="119">
        <v>45903</v>
      </c>
      <c r="XFD68" s="113">
        <v>45872</v>
      </c>
    </row>
    <row r="69" spans="13:14 16383:16384" ht="15.75" customHeight="1" x14ac:dyDescent="0.2">
      <c r="XFC69" s="119">
        <v>45904</v>
      </c>
      <c r="XFD69" s="113">
        <v>45873</v>
      </c>
    </row>
    <row r="70" spans="13:14 16383:16384" ht="15.75" customHeight="1" x14ac:dyDescent="0.2">
      <c r="XFC70" s="119">
        <v>45905</v>
      </c>
      <c r="XFD70" s="113">
        <v>45874</v>
      </c>
    </row>
    <row r="71" spans="13:14 16383:16384" ht="15.75" customHeight="1" x14ac:dyDescent="0.2">
      <c r="XFC71" s="119">
        <v>45906</v>
      </c>
      <c r="XFD71" s="113">
        <v>45875</v>
      </c>
    </row>
    <row r="72" spans="13:14 16383:16384" ht="15.75" customHeight="1" x14ac:dyDescent="0.2">
      <c r="XFC72" s="119">
        <v>45907</v>
      </c>
      <c r="XFD72" s="113">
        <v>45876</v>
      </c>
    </row>
    <row r="73" spans="13:14 16383:16384" ht="15.75" customHeight="1" x14ac:dyDescent="0.2">
      <c r="XFC73" s="119">
        <v>45908</v>
      </c>
      <c r="XFD73" s="113">
        <v>45877</v>
      </c>
    </row>
    <row r="74" spans="13:14 16383:16384" ht="15.75" customHeight="1" x14ac:dyDescent="0.2">
      <c r="XFC74" s="119">
        <v>45909</v>
      </c>
      <c r="XFD74" s="113">
        <v>45878</v>
      </c>
    </row>
    <row r="75" spans="13:14 16383:16384" ht="15.75" customHeight="1" x14ac:dyDescent="0.2">
      <c r="XFC75" s="119">
        <v>45910</v>
      </c>
      <c r="XFD75" s="113">
        <v>45879</v>
      </c>
    </row>
    <row r="76" spans="13:14 16383:16384" ht="15.75" customHeight="1" x14ac:dyDescent="0.2">
      <c r="XFC76" s="119">
        <v>45911</v>
      </c>
      <c r="XFD76" s="113">
        <v>45880</v>
      </c>
    </row>
    <row r="77" spans="13:14 16383:16384" ht="15.75" customHeight="1" x14ac:dyDescent="0.2">
      <c r="XFC77" s="119">
        <v>45912</v>
      </c>
      <c r="XFD77" s="113">
        <v>45881</v>
      </c>
    </row>
    <row r="78" spans="13:14 16383:16384" ht="15.75" customHeight="1" x14ac:dyDescent="0.2">
      <c r="XFC78" s="119">
        <v>45913</v>
      </c>
      <c r="XFD78" s="113">
        <v>45882</v>
      </c>
    </row>
    <row r="79" spans="13:14 16383:16384" ht="15.75" customHeight="1" x14ac:dyDescent="0.2">
      <c r="XFC79" s="119">
        <v>45914</v>
      </c>
      <c r="XFD79" s="113">
        <v>45883</v>
      </c>
    </row>
    <row r="80" spans="13:14 16383:16384" ht="15.75" customHeight="1" x14ac:dyDescent="0.2">
      <c r="XFC80" s="119">
        <v>45915</v>
      </c>
      <c r="XFD80" s="113">
        <v>45884</v>
      </c>
    </row>
    <row r="81" spans="16383:16384" ht="15.75" customHeight="1" x14ac:dyDescent="0.2">
      <c r="XFC81" s="119">
        <v>45916</v>
      </c>
      <c r="XFD81" s="113">
        <v>45885</v>
      </c>
    </row>
    <row r="82" spans="16383:16384" ht="15.75" customHeight="1" x14ac:dyDescent="0.2">
      <c r="XFC82" s="119">
        <v>45917</v>
      </c>
      <c r="XFD82" s="113">
        <v>45886</v>
      </c>
    </row>
    <row r="83" spans="16383:16384" ht="15.75" customHeight="1" x14ac:dyDescent="0.2">
      <c r="XFC83" s="119">
        <v>45918</v>
      </c>
      <c r="XFD83" s="113">
        <v>45887</v>
      </c>
    </row>
    <row r="84" spans="16383:16384" ht="15.75" customHeight="1" x14ac:dyDescent="0.2">
      <c r="XFC84" s="119">
        <v>45919</v>
      </c>
      <c r="XFD84" s="113">
        <v>45888</v>
      </c>
    </row>
    <row r="85" spans="16383:16384" ht="15.75" customHeight="1" x14ac:dyDescent="0.2">
      <c r="XFC85" s="119">
        <v>45920</v>
      </c>
      <c r="XFD85" s="113">
        <v>45889</v>
      </c>
    </row>
    <row r="86" spans="16383:16384" ht="15.75" customHeight="1" x14ac:dyDescent="0.2">
      <c r="XFC86" s="119">
        <v>45921</v>
      </c>
      <c r="XFD86" s="113">
        <v>45890</v>
      </c>
    </row>
    <row r="87" spans="16383:16384" ht="15.75" customHeight="1" x14ac:dyDescent="0.2">
      <c r="XFC87" s="119">
        <v>45922</v>
      </c>
      <c r="XFD87" s="113">
        <v>45891</v>
      </c>
    </row>
    <row r="88" spans="16383:16384" ht="15.75" customHeight="1" x14ac:dyDescent="0.2">
      <c r="XFC88" s="119">
        <v>45923</v>
      </c>
      <c r="XFD88" s="113">
        <v>45892</v>
      </c>
    </row>
    <row r="89" spans="16383:16384" ht="15.75" customHeight="1" x14ac:dyDescent="0.2">
      <c r="XFC89" s="119">
        <v>45924</v>
      </c>
      <c r="XFD89" s="113">
        <v>45893</v>
      </c>
    </row>
    <row r="90" spans="16383:16384" ht="15.75" customHeight="1" x14ac:dyDescent="0.2">
      <c r="XFC90" s="119">
        <v>45925</v>
      </c>
      <c r="XFD90" s="113">
        <v>45894</v>
      </c>
    </row>
    <row r="91" spans="16383:16384" ht="15.75" customHeight="1" x14ac:dyDescent="0.2">
      <c r="XFC91" s="119">
        <v>45926</v>
      </c>
      <c r="XFD91" s="113">
        <v>45895</v>
      </c>
    </row>
    <row r="92" spans="16383:16384" ht="15.75" customHeight="1" x14ac:dyDescent="0.2">
      <c r="XFC92" s="119">
        <v>45927</v>
      </c>
      <c r="XFD92" s="113">
        <v>45896</v>
      </c>
    </row>
    <row r="93" spans="16383:16384" ht="15.75" customHeight="1" x14ac:dyDescent="0.2">
      <c r="XFC93" s="119">
        <v>45928</v>
      </c>
      <c r="XFD93" s="113">
        <v>45897</v>
      </c>
    </row>
    <row r="94" spans="16383:16384" ht="15.75" customHeight="1" x14ac:dyDescent="0.2">
      <c r="XFC94" s="119">
        <v>45929</v>
      </c>
      <c r="XFD94" s="113">
        <v>45898</v>
      </c>
    </row>
    <row r="95" spans="16383:16384" ht="15.75" customHeight="1" x14ac:dyDescent="0.2">
      <c r="XFD95" s="113">
        <v>45899</v>
      </c>
    </row>
    <row r="96" spans="16383:16384" ht="15.75" customHeight="1" x14ac:dyDescent="0.2">
      <c r="XFD96" s="113">
        <v>45900</v>
      </c>
    </row>
    <row r="97" spans="16384:16384" ht="15.75" customHeight="1" x14ac:dyDescent="0.2">
      <c r="XFD97" s="113">
        <v>45901</v>
      </c>
    </row>
    <row r="98" spans="16384:16384" ht="15.75" customHeight="1" x14ac:dyDescent="0.2"/>
    <row r="99" spans="16384:16384" ht="15.75" customHeight="1" x14ac:dyDescent="0.2"/>
    <row r="100" spans="16384:16384" ht="15.75" customHeight="1" x14ac:dyDescent="0.2"/>
    <row r="101" spans="16384:16384" ht="15.75" customHeight="1" x14ac:dyDescent="0.2"/>
    <row r="102" spans="16384:16384" ht="15.75" customHeight="1" x14ac:dyDescent="0.2"/>
    <row r="103" spans="16384:16384" ht="15.75" customHeight="1" x14ac:dyDescent="0.2"/>
    <row r="104" spans="16384:16384" ht="15.75" customHeight="1" x14ac:dyDescent="0.2"/>
    <row r="105" spans="16384:16384" ht="15.75" customHeight="1" x14ac:dyDescent="0.2"/>
    <row r="106" spans="16384:16384" ht="15.75" customHeight="1" x14ac:dyDescent="0.2"/>
    <row r="107" spans="16384:16384" ht="15.75" customHeight="1" x14ac:dyDescent="0.2"/>
    <row r="108" spans="16384:16384" ht="15.75" customHeight="1" x14ac:dyDescent="0.2"/>
    <row r="109" spans="16384:16384" ht="15.75" customHeight="1" x14ac:dyDescent="0.2"/>
    <row r="110" spans="16384:16384" ht="15.75" customHeight="1" x14ac:dyDescent="0.2"/>
    <row r="111" spans="16384:16384" ht="15.75" customHeight="1" x14ac:dyDescent="0.2"/>
    <row r="112" spans="16384:16384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</sheetData>
  <sortState xmlns:xlrd2="http://schemas.microsoft.com/office/spreadsheetml/2017/richdata2" ref="A31:Q49">
    <sortCondition descending="1" ref="N31"/>
  </sortState>
  <mergeCells count="14">
    <mergeCell ref="A5:C5"/>
    <mergeCell ref="D12:E12"/>
    <mergeCell ref="D18:E18"/>
    <mergeCell ref="D25:E25"/>
    <mergeCell ref="D6:E6"/>
    <mergeCell ref="A29:C29"/>
    <mergeCell ref="D9:E9"/>
    <mergeCell ref="D19:E19"/>
    <mergeCell ref="D20:E20"/>
    <mergeCell ref="D21:E21"/>
    <mergeCell ref="D22:E22"/>
    <mergeCell ref="D23:E23"/>
    <mergeCell ref="D24:E24"/>
    <mergeCell ref="A17:C17"/>
  </mergeCells>
  <conditionalFormatting sqref="R31:R45">
    <cfRule type="expression" dxfId="2" priority="1">
      <formula>$H31&lt;=$R31</formula>
    </cfRule>
  </conditionalFormatting>
  <dataValidations disablePrompts="1" count="1">
    <dataValidation type="list" allowBlank="1" sqref="A31:A32" xr:uid="{5C32911D-7F61-4B68-BBDE-4383F8C4C6A2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Refresh_Daily_Data">
                <anchor moveWithCells="1" sizeWithCells="1">
                  <from>
                    <xdr:col>5</xdr:col>
                    <xdr:colOff>247650</xdr:colOff>
                    <xdr:row>0</xdr:row>
                    <xdr:rowOff>142875</xdr:rowOff>
                  </from>
                  <to>
                    <xdr:col>7</xdr:col>
                    <xdr:colOff>38100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5" name="Button 7">
              <controlPr defaultSize="0" print="0" autoFill="0" autoPict="0" macro="[0]!Update_All_Snapshot">
                <anchor moveWithCells="1" sizeWithCells="1">
                  <from>
                    <xdr:col>10</xdr:col>
                    <xdr:colOff>257175</xdr:colOff>
                    <xdr:row>0</xdr:row>
                    <xdr:rowOff>161925</xdr:rowOff>
                  </from>
                  <to>
                    <xdr:col>11</xdr:col>
                    <xdr:colOff>628650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156-8E0B-43FF-9F7D-3A8B0079813C}">
  <sheetPr codeName="Sheet2">
    <outlinePr summaryBelow="0" summaryRight="0"/>
  </sheetPr>
  <dimension ref="A1:S880"/>
  <sheetViews>
    <sheetView zoomScale="130" zoomScaleNormal="130" workbookViewId="0">
      <selection activeCell="I33" sqref="I33"/>
    </sheetView>
  </sheetViews>
  <sheetFormatPr defaultColWidth="14.42578125" defaultRowHeight="15" customHeight="1" x14ac:dyDescent="0.2"/>
  <cols>
    <col min="1" max="1" width="15.140625" customWidth="1"/>
    <col min="2" max="2" width="9.42578125" customWidth="1"/>
    <col min="3" max="3" width="12.140625" customWidth="1"/>
    <col min="4" max="4" width="12" customWidth="1"/>
    <col min="5" max="5" width="8" customWidth="1"/>
    <col min="6" max="6" width="10.7109375" customWidth="1"/>
    <col min="7" max="7" width="9.42578125" customWidth="1"/>
    <col min="8" max="8" width="9.28515625" customWidth="1"/>
    <col min="9" max="9" width="5.140625" customWidth="1"/>
    <col min="10" max="10" width="11.28515625" customWidth="1"/>
    <col min="11" max="11" width="8.42578125" customWidth="1"/>
    <col min="12" max="12" width="8.28515625" customWidth="1"/>
    <col min="13" max="13" width="12.5703125" customWidth="1"/>
    <col min="14" max="14" width="8.28515625" customWidth="1"/>
    <col min="15" max="15" width="10.85546875" customWidth="1"/>
    <col min="16" max="16" width="9.42578125" customWidth="1"/>
    <col min="17" max="17" width="20.28515625" style="32" customWidth="1"/>
    <col min="18" max="18" width="25.5703125" customWidth="1"/>
    <col min="19" max="19" width="11.5703125" customWidth="1"/>
  </cols>
  <sheetData>
    <row r="1" spans="1:19" ht="18" x14ac:dyDescent="0.25">
      <c r="A1" s="1" t="s">
        <v>44</v>
      </c>
      <c r="F1" s="3" t="s">
        <v>39</v>
      </c>
      <c r="G1">
        <v>26000</v>
      </c>
    </row>
    <row r="2" spans="1:19" ht="15.75" customHeight="1" x14ac:dyDescent="0.2">
      <c r="A2" s="6" t="s">
        <v>11</v>
      </c>
      <c r="B2" s="46" t="s">
        <v>38</v>
      </c>
      <c r="C2" s="46" t="s">
        <v>27</v>
      </c>
      <c r="D2" s="3"/>
      <c r="E2" s="3"/>
      <c r="G2" s="3"/>
      <c r="H2" s="3"/>
    </row>
    <row r="3" spans="1:19" ht="15.75" customHeight="1" x14ac:dyDescent="0.2">
      <c r="A3" s="3" t="s">
        <v>31</v>
      </c>
      <c r="B3" s="3">
        <f>M7</f>
        <v>4353.4556819999989</v>
      </c>
      <c r="C3" s="3">
        <f>B3*$G$1</f>
        <v>113189847.73199998</v>
      </c>
      <c r="H3" s="3"/>
      <c r="O3" s="10"/>
    </row>
    <row r="4" spans="1:19" ht="15.75" customHeight="1" x14ac:dyDescent="0.2">
      <c r="A4" s="3" t="s">
        <v>100</v>
      </c>
      <c r="B4" s="47">
        <v>1232</v>
      </c>
      <c r="C4" s="3">
        <f>B4*$G$1</f>
        <v>32032000</v>
      </c>
      <c r="H4" s="3"/>
    </row>
    <row r="5" spans="1:19" ht="15.75" customHeight="1" x14ac:dyDescent="0.2">
      <c r="A5" s="3" t="s">
        <v>0</v>
      </c>
      <c r="B5" s="3">
        <f>B3+B4</f>
        <v>5585.4556819999989</v>
      </c>
      <c r="C5" s="3">
        <f>B5*$G$1</f>
        <v>145221847.73199996</v>
      </c>
      <c r="H5" s="3"/>
    </row>
    <row r="6" spans="1:19" ht="15.75" customHeight="1" x14ac:dyDescent="0.2">
      <c r="A6" s="3"/>
      <c r="B6" s="3"/>
    </row>
    <row r="7" spans="1:19" ht="15.75" customHeight="1" x14ac:dyDescent="0.2">
      <c r="A7" s="6" t="s">
        <v>12</v>
      </c>
      <c r="B7" s="6"/>
      <c r="D7" s="3"/>
      <c r="E7" s="3"/>
      <c r="F7" s="5"/>
      <c r="G7" s="3"/>
      <c r="H7" s="3"/>
      <c r="J7" s="5">
        <f>SUMIF(A9:A81,"Mở",J9:J81)</f>
        <v>40.200000000000003</v>
      </c>
      <c r="M7" s="5">
        <f>SUMIF(A9:A81,"Mở",M9:M81)</f>
        <v>4353.4556819999989</v>
      </c>
      <c r="N7" s="41"/>
      <c r="O7" s="45">
        <f>SUMIF(A9:A81,"Mở",O9:O81)</f>
        <v>1039.7656820000002</v>
      </c>
      <c r="P7" s="17">
        <f>O7/SUMIF(A9:A81,"Mở",F9:F81)</f>
        <v>0.31001782467522787</v>
      </c>
      <c r="Q7" s="33"/>
      <c r="S7" s="2"/>
    </row>
    <row r="8" spans="1:19" ht="31.5" customHeight="1" x14ac:dyDescent="0.2">
      <c r="A8" s="11" t="s">
        <v>13</v>
      </c>
      <c r="B8" s="11" t="s">
        <v>32</v>
      </c>
      <c r="C8" s="11" t="s">
        <v>14</v>
      </c>
      <c r="D8" s="11" t="s">
        <v>15</v>
      </c>
      <c r="E8" s="11" t="s">
        <v>16</v>
      </c>
      <c r="F8" s="11" t="s">
        <v>17</v>
      </c>
      <c r="G8" s="11" t="s">
        <v>18</v>
      </c>
      <c r="H8" s="11" t="s">
        <v>19</v>
      </c>
      <c r="I8" s="11" t="s">
        <v>20</v>
      </c>
      <c r="J8" s="11" t="s">
        <v>21</v>
      </c>
      <c r="K8" s="11" t="s">
        <v>22</v>
      </c>
      <c r="L8" s="42" t="s">
        <v>29</v>
      </c>
      <c r="M8" s="11" t="s">
        <v>23</v>
      </c>
      <c r="N8" s="42" t="s">
        <v>54</v>
      </c>
      <c r="O8" s="11" t="s">
        <v>24</v>
      </c>
      <c r="P8" s="11" t="s">
        <v>25</v>
      </c>
      <c r="Q8" s="34" t="s">
        <v>53</v>
      </c>
    </row>
    <row r="9" spans="1:19" ht="15.75" customHeight="1" x14ac:dyDescent="0.2">
      <c r="A9" s="13" t="s">
        <v>26</v>
      </c>
      <c r="B9" s="14" t="s">
        <v>48</v>
      </c>
      <c r="C9" s="14">
        <v>45396</v>
      </c>
      <c r="D9" s="61">
        <v>45676</v>
      </c>
      <c r="E9">
        <f>0.00031+0.00157+0.00615+0.00667+0.00345+0.00555</f>
        <v>2.3699999999999999E-2</v>
      </c>
      <c r="F9">
        <f>20+94.2+400+400+190+300</f>
        <v>1404.2</v>
      </c>
      <c r="G9" s="38">
        <f>F9/E9</f>
        <v>59248.945147679333</v>
      </c>
      <c r="H9" s="35">
        <v>118264.04</v>
      </c>
      <c r="I9">
        <f>0.006+0.003+0.006+0.0027+0.0007+0.0032+0.0001+0.002</f>
        <v>2.3699999999999999E-2</v>
      </c>
      <c r="J9">
        <f>434+279+564+274+77+318+10.7+166</f>
        <v>2122.6999999999998</v>
      </c>
      <c r="K9">
        <f>J9/I9</f>
        <v>89565.400843881856</v>
      </c>
      <c r="L9" s="35">
        <f t="shared" ref="L9" si="0">E9-I9</f>
        <v>0</v>
      </c>
      <c r="M9" s="53">
        <f t="shared" ref="M9" si="1">(E9-I9)*H9</f>
        <v>0</v>
      </c>
      <c r="N9" s="54">
        <f t="shared" ref="N9:N19" si="2">M9/SUM($M$9:$M$29)</f>
        <v>0</v>
      </c>
      <c r="O9" s="38">
        <f t="shared" ref="O9" si="3">(J9+M9)-F9</f>
        <v>718.49999999999977</v>
      </c>
      <c r="P9" s="55">
        <f t="shared" ref="P9" si="4">O9/F9</f>
        <v>0.51167924797037445</v>
      </c>
      <c r="Q9" s="57" t="s">
        <v>72</v>
      </c>
    </row>
    <row r="10" spans="1:19" ht="15.75" customHeight="1" x14ac:dyDescent="0.2">
      <c r="A10" s="13" t="s">
        <v>33</v>
      </c>
      <c r="B10" s="67" t="s">
        <v>34</v>
      </c>
      <c r="C10" s="14">
        <v>44874</v>
      </c>
      <c r="D10" s="14"/>
      <c r="E10">
        <f>0.02+0.0318+0.0562+0.055+0.0651+0.1363+0.084+0.0714+0.04</f>
        <v>0.55980000000000008</v>
      </c>
      <c r="F10">
        <f>26.28+94.4+180+176+195+300+208+150+123</f>
        <v>1452.68</v>
      </c>
      <c r="G10" s="38">
        <f>F10/E10</f>
        <v>2594.9982136477311</v>
      </c>
      <c r="H10">
        <v>4537</v>
      </c>
      <c r="I10" s="35">
        <v>0.01</v>
      </c>
      <c r="J10" s="35">
        <v>40.200000000000003</v>
      </c>
      <c r="K10" s="26">
        <f>IF(I10&gt;0,J10/I10,"-")</f>
        <v>4020</v>
      </c>
      <c r="L10">
        <f>E10-I10</f>
        <v>0.54980000000000007</v>
      </c>
      <c r="M10" s="49">
        <f>(E10-I10)*H10</f>
        <v>2494.4426000000003</v>
      </c>
      <c r="N10" s="54">
        <f t="shared" si="2"/>
        <v>0.56362893697663785</v>
      </c>
      <c r="O10" s="44">
        <f>(J10+M10)-F10</f>
        <v>1081.9626000000001</v>
      </c>
      <c r="P10" s="17">
        <f>O10/F10</f>
        <v>0.74480449927031422</v>
      </c>
      <c r="Q10" s="57" t="s">
        <v>55</v>
      </c>
    </row>
    <row r="11" spans="1:19" ht="15.75" customHeight="1" x14ac:dyDescent="0.2">
      <c r="A11" s="13" t="s">
        <v>33</v>
      </c>
      <c r="B11" s="48" t="s">
        <v>35</v>
      </c>
      <c r="C11" s="14">
        <v>45885</v>
      </c>
      <c r="E11">
        <f>2.316</f>
        <v>2.3159999999999998</v>
      </c>
      <c r="F11">
        <v>435.57</v>
      </c>
      <c r="G11" s="38">
        <f t="shared" ref="G11:G28" si="5">F11/E11</f>
        <v>188.06994818652851</v>
      </c>
      <c r="H11" s="35">
        <v>191.81</v>
      </c>
      <c r="I11" s="35">
        <v>0</v>
      </c>
      <c r="J11" s="35">
        <v>0</v>
      </c>
      <c r="K11" s="26" t="str">
        <f>IF(I11&gt;0,J11/I11,"-")</f>
        <v>-</v>
      </c>
      <c r="L11">
        <f t="shared" ref="L11:L13" si="6">E11-I11</f>
        <v>2.3159999999999998</v>
      </c>
      <c r="M11" s="49">
        <f t="shared" ref="M11:M13" si="7">(E11-I11)*H11</f>
        <v>444.23195999999996</v>
      </c>
      <c r="N11" s="54">
        <f t="shared" si="2"/>
        <v>0.10037592662418782</v>
      </c>
      <c r="O11" s="44">
        <f t="shared" ref="O11:O13" si="8">(J11+M11)-F11</f>
        <v>8.661959999999965</v>
      </c>
      <c r="P11" s="17">
        <f t="shared" ref="P11:P13" si="9">O11/F11</f>
        <v>1.9886493560162467E-2</v>
      </c>
      <c r="Q11" s="57" t="s">
        <v>73</v>
      </c>
    </row>
    <row r="12" spans="1:19" ht="15.75" customHeight="1" x14ac:dyDescent="0.2">
      <c r="A12" s="13" t="s">
        <v>33</v>
      </c>
      <c r="B12" s="67" t="s">
        <v>78</v>
      </c>
      <c r="C12" s="14">
        <v>45885</v>
      </c>
      <c r="E12">
        <f>0.5895</f>
        <v>0.58950000000000002</v>
      </c>
      <c r="F12">
        <v>492.95</v>
      </c>
      <c r="G12" s="38">
        <f t="shared" si="5"/>
        <v>836.21713316369801</v>
      </c>
      <c r="H12" s="35">
        <v>862.42</v>
      </c>
      <c r="I12" s="35"/>
      <c r="J12" s="35"/>
      <c r="K12" s="26" t="str">
        <f>IF(I12&gt;0,J12/I12,"-")</f>
        <v>-</v>
      </c>
      <c r="L12">
        <f t="shared" si="6"/>
        <v>0.58950000000000002</v>
      </c>
      <c r="M12" s="49">
        <f t="shared" si="7"/>
        <v>508.39659</v>
      </c>
      <c r="N12" s="54">
        <f t="shared" si="2"/>
        <v>0.11487417252425354</v>
      </c>
      <c r="O12" s="44">
        <f t="shared" si="8"/>
        <v>15.446590000000015</v>
      </c>
      <c r="P12" s="17">
        <f t="shared" si="9"/>
        <v>3.133500355005582E-2</v>
      </c>
      <c r="Q12" s="57" t="s">
        <v>55</v>
      </c>
      <c r="R12" s="57"/>
    </row>
    <row r="13" spans="1:19" ht="15.75" customHeight="1" x14ac:dyDescent="0.2">
      <c r="A13" s="13" t="s">
        <v>33</v>
      </c>
      <c r="B13" s="67" t="s">
        <v>37</v>
      </c>
      <c r="C13" s="14">
        <v>45885</v>
      </c>
      <c r="E13">
        <f>408.8</f>
        <v>408.8</v>
      </c>
      <c r="F13">
        <v>394.09</v>
      </c>
      <c r="G13" s="38">
        <f t="shared" si="5"/>
        <v>0.96401663405088056</v>
      </c>
      <c r="H13" s="35">
        <v>0.95330000000000004</v>
      </c>
      <c r="K13" s="26" t="str">
        <f>IF(I13&gt;0,J13/I13,"-")</f>
        <v>-</v>
      </c>
      <c r="L13">
        <f t="shared" si="6"/>
        <v>408.8</v>
      </c>
      <c r="M13" s="49">
        <f t="shared" si="7"/>
        <v>389.70904000000002</v>
      </c>
      <c r="N13" s="54">
        <f t="shared" si="2"/>
        <v>8.8056262327056975E-2</v>
      </c>
      <c r="O13" s="44">
        <f t="shared" si="8"/>
        <v>-4.3809599999999591</v>
      </c>
      <c r="P13" s="17">
        <f t="shared" si="9"/>
        <v>-1.1116648481311272E-2</v>
      </c>
      <c r="Q13" s="57" t="s">
        <v>55</v>
      </c>
    </row>
    <row r="14" spans="1:19" ht="15" customHeight="1" x14ac:dyDescent="0.2">
      <c r="A14" s="13" t="s">
        <v>33</v>
      </c>
      <c r="B14" s="67" t="s">
        <v>99</v>
      </c>
      <c r="C14" s="14">
        <v>45885</v>
      </c>
      <c r="E14">
        <v>25.1</v>
      </c>
      <c r="F14">
        <v>92.82</v>
      </c>
      <c r="G14" s="38">
        <f t="shared" si="5"/>
        <v>3.6980079681274898</v>
      </c>
      <c r="H14" s="35">
        <v>3.8119999999999998</v>
      </c>
      <c r="K14" s="26" t="str">
        <f>IF(I14&gt;0,J14/I14,"-")</f>
        <v>-</v>
      </c>
      <c r="L14">
        <f t="shared" ref="L14" si="10">E14-I14</f>
        <v>25.1</v>
      </c>
      <c r="M14" s="49">
        <f t="shared" ref="M14" si="11">(E14-I14)*H14</f>
        <v>95.681200000000004</v>
      </c>
      <c r="N14" s="54">
        <f t="shared" si="2"/>
        <v>2.1619536582901961E-2</v>
      </c>
      <c r="O14" s="44">
        <f t="shared" ref="O14" si="12">(J14+M14)-F14</f>
        <v>2.8612000000000108</v>
      </c>
      <c r="P14" s="17">
        <f t="shared" ref="P14" si="13">O14/F14</f>
        <v>3.0825253178194473E-2</v>
      </c>
      <c r="Q14" s="57" t="s">
        <v>55</v>
      </c>
    </row>
    <row r="15" spans="1:19" ht="15" customHeight="1" x14ac:dyDescent="0.2">
      <c r="A15" s="13" t="s">
        <v>33</v>
      </c>
      <c r="B15" s="66" t="s">
        <v>83</v>
      </c>
      <c r="C15" s="14"/>
      <c r="E15">
        <v>2059</v>
      </c>
      <c r="F15">
        <v>50.51</v>
      </c>
      <c r="G15" s="38">
        <f t="shared" si="5"/>
        <v>2.4531325886352599E-2</v>
      </c>
      <c r="H15" s="35">
        <v>2.495E-2</v>
      </c>
      <c r="K15" s="26" t="str">
        <f t="shared" ref="K15:K28" si="14">IF(I15&gt;0,J15/I15,"-")</f>
        <v>-</v>
      </c>
      <c r="L15">
        <f t="shared" ref="L15:L25" si="15">E15-I15</f>
        <v>2059</v>
      </c>
      <c r="M15" s="49">
        <f t="shared" ref="M15:M17" si="16">(E15-I15)*H15</f>
        <v>51.372050000000002</v>
      </c>
      <c r="N15" s="54">
        <f t="shared" si="2"/>
        <v>1.1607713054535987E-2</v>
      </c>
      <c r="O15" s="44">
        <f t="shared" ref="O15:O17" si="17">(J15+M15)-F15</f>
        <v>0.86205000000000354</v>
      </c>
      <c r="P15" s="17">
        <f t="shared" ref="P15:P17" si="18">O15/F15</f>
        <v>1.7066917442090747E-2</v>
      </c>
      <c r="Q15" s="57" t="s">
        <v>55</v>
      </c>
    </row>
    <row r="16" spans="1:19" ht="15" customHeight="1" x14ac:dyDescent="0.2">
      <c r="A16" s="13" t="s">
        <v>33</v>
      </c>
      <c r="B16" s="66" t="s">
        <v>81</v>
      </c>
      <c r="C16" s="14"/>
      <c r="E16">
        <v>146.86000000000001</v>
      </c>
      <c r="F16">
        <v>37.49</v>
      </c>
      <c r="G16" s="38">
        <f t="shared" si="5"/>
        <v>0.25527713468609559</v>
      </c>
      <c r="H16" s="35">
        <v>0.26519999999999999</v>
      </c>
      <c r="K16" s="26" t="str">
        <f t="shared" si="14"/>
        <v>-</v>
      </c>
      <c r="L16">
        <f t="shared" si="15"/>
        <v>146.86000000000001</v>
      </c>
      <c r="M16" s="49">
        <f t="shared" si="16"/>
        <v>38.947272000000005</v>
      </c>
      <c r="N16" s="54">
        <f t="shared" si="2"/>
        <v>8.8002864910581517E-3</v>
      </c>
      <c r="O16" s="44">
        <f t="shared" si="17"/>
        <v>1.4572720000000032</v>
      </c>
      <c r="P16" s="17">
        <f t="shared" si="18"/>
        <v>3.8870952253934464E-2</v>
      </c>
      <c r="Q16" s="57" t="s">
        <v>55</v>
      </c>
    </row>
    <row r="17" spans="1:18" ht="15" customHeight="1" x14ac:dyDescent="0.2">
      <c r="A17" s="13" t="s">
        <v>33</v>
      </c>
      <c r="B17" s="66" t="s">
        <v>80</v>
      </c>
      <c r="C17" s="14"/>
      <c r="E17">
        <v>9.89</v>
      </c>
      <c r="F17">
        <v>27.08</v>
      </c>
      <c r="G17" s="38">
        <f t="shared" si="5"/>
        <v>2.7381193124368046</v>
      </c>
      <c r="H17" s="35">
        <v>2.7610000000000001</v>
      </c>
      <c r="K17" s="26" t="str">
        <f t="shared" si="14"/>
        <v>-</v>
      </c>
      <c r="L17">
        <f t="shared" si="15"/>
        <v>9.89</v>
      </c>
      <c r="M17" s="49">
        <f t="shared" si="16"/>
        <v>27.306290000000004</v>
      </c>
      <c r="N17" s="54">
        <f t="shared" si="2"/>
        <v>6.1699616601623933E-3</v>
      </c>
      <c r="O17" s="44">
        <f t="shared" si="17"/>
        <v>0.22629000000000588</v>
      </c>
      <c r="P17" s="17">
        <f t="shared" si="18"/>
        <v>8.3563515509603361E-3</v>
      </c>
      <c r="Q17" s="57" t="s">
        <v>55</v>
      </c>
    </row>
    <row r="18" spans="1:18" ht="15" customHeight="1" x14ac:dyDescent="0.2">
      <c r="A18" s="13"/>
      <c r="B18" s="67" t="s">
        <v>109</v>
      </c>
      <c r="C18" s="14">
        <v>45885</v>
      </c>
      <c r="E18">
        <v>76.028000000000006</v>
      </c>
      <c r="F18">
        <v>73.19</v>
      </c>
      <c r="G18" s="38">
        <f t="shared" ref="G18" si="19">F18/E18</f>
        <v>0.96267164728784127</v>
      </c>
      <c r="H18" s="35">
        <v>0.95</v>
      </c>
      <c r="K18" s="26" t="str">
        <f t="shared" ref="K18" si="20">IF(I18&gt;0,J18/I18,"-")</f>
        <v>-</v>
      </c>
      <c r="L18">
        <f t="shared" ref="L18" si="21">E18-I18</f>
        <v>76.028000000000006</v>
      </c>
      <c r="M18" s="49">
        <f t="shared" ref="M18" si="22">(E18-I18)*H18</f>
        <v>72.226600000000005</v>
      </c>
      <c r="N18" s="54">
        <f t="shared" si="2"/>
        <v>1.6319879150330754E-2</v>
      </c>
      <c r="O18" s="44">
        <f t="shared" ref="O18" si="23">(J18+M18)-F18</f>
        <v>-0.96339999999999293</v>
      </c>
      <c r="P18" s="17">
        <f t="shared" ref="P18" si="24">O18/F18</f>
        <v>-1.3163000409891965E-2</v>
      </c>
      <c r="Q18" s="57" t="s">
        <v>73</v>
      </c>
    </row>
    <row r="19" spans="1:18" ht="15" customHeight="1" x14ac:dyDescent="0.2">
      <c r="A19" s="13" t="s">
        <v>33</v>
      </c>
      <c r="B19" s="67" t="s">
        <v>77</v>
      </c>
      <c r="C19" s="14"/>
      <c r="E19">
        <v>93.75</v>
      </c>
      <c r="F19">
        <v>93.13</v>
      </c>
      <c r="G19" s="38">
        <f t="shared" si="5"/>
        <v>0.99338666666666664</v>
      </c>
      <c r="H19" s="35">
        <v>1.008</v>
      </c>
      <c r="K19" s="26" t="str">
        <f t="shared" si="14"/>
        <v>-</v>
      </c>
      <c r="L19" s="35">
        <f t="shared" si="15"/>
        <v>93.75</v>
      </c>
      <c r="M19" s="49">
        <f t="shared" ref="M19:M25" si="25">(E19-I19)*H19</f>
        <v>94.5</v>
      </c>
      <c r="N19" s="54">
        <f t="shared" si="2"/>
        <v>2.1352639882069153E-2</v>
      </c>
      <c r="O19" s="44">
        <f t="shared" ref="O19:O25" si="26">(J19+M19)-F19</f>
        <v>1.3700000000000045</v>
      </c>
      <c r="P19" s="17">
        <f t="shared" ref="P19:P25" si="27">O19/F19</f>
        <v>1.4710619564050302E-2</v>
      </c>
      <c r="Q19" s="57" t="s">
        <v>73</v>
      </c>
    </row>
    <row r="20" spans="1:18" ht="15" customHeight="1" x14ac:dyDescent="0.2">
      <c r="A20" s="13"/>
      <c r="B20" s="67"/>
      <c r="C20" s="14"/>
      <c r="G20" s="38"/>
      <c r="H20" s="35"/>
      <c r="K20" s="26"/>
      <c r="L20" s="35"/>
      <c r="M20" s="49"/>
      <c r="N20" s="54"/>
      <c r="O20" s="44"/>
      <c r="P20" s="17"/>
      <c r="Q20" s="57"/>
    </row>
    <row r="21" spans="1:18" ht="15" customHeight="1" x14ac:dyDescent="0.2">
      <c r="A21" s="13" t="s">
        <v>33</v>
      </c>
      <c r="B21" s="67" t="s">
        <v>88</v>
      </c>
      <c r="C21" s="14"/>
      <c r="E21">
        <v>2.4990000000000001</v>
      </c>
      <c r="F21">
        <v>54.9</v>
      </c>
      <c r="G21" s="38">
        <f t="shared" si="5"/>
        <v>21.968787515005999</v>
      </c>
      <c r="H21" s="35">
        <v>24.56</v>
      </c>
      <c r="K21" s="26" t="str">
        <f t="shared" si="14"/>
        <v>-</v>
      </c>
      <c r="L21" s="35">
        <f t="shared" si="15"/>
        <v>2.4990000000000001</v>
      </c>
      <c r="M21" s="49">
        <f t="shared" si="25"/>
        <v>61.375439999999998</v>
      </c>
      <c r="N21" s="54">
        <f>M21/SUM($M$9:$M$29)</f>
        <v>1.3868017649984575E-2</v>
      </c>
      <c r="O21" s="44">
        <f t="shared" si="26"/>
        <v>6.475439999999999</v>
      </c>
      <c r="P21" s="17">
        <f t="shared" si="27"/>
        <v>0.11794972677595626</v>
      </c>
      <c r="Q21" s="57" t="s">
        <v>73</v>
      </c>
    </row>
    <row r="22" spans="1:18" ht="15" customHeight="1" x14ac:dyDescent="0.2">
      <c r="A22" s="13" t="s">
        <v>33</v>
      </c>
      <c r="B22" s="67" t="s">
        <v>86</v>
      </c>
      <c r="C22" s="14"/>
      <c r="E22">
        <v>3.82</v>
      </c>
      <c r="F22">
        <v>41.51</v>
      </c>
      <c r="G22" s="38">
        <f t="shared" si="5"/>
        <v>10.866492146596858</v>
      </c>
      <c r="H22" s="35">
        <v>11.151999999999999</v>
      </c>
      <c r="K22" s="26" t="str">
        <f t="shared" si="14"/>
        <v>-</v>
      </c>
      <c r="L22" s="35">
        <f t="shared" si="15"/>
        <v>3.82</v>
      </c>
      <c r="M22" s="49">
        <f t="shared" si="25"/>
        <v>42.600639999999999</v>
      </c>
      <c r="N22" s="54">
        <f>M22/SUM($M$9:$M$29)</f>
        <v>9.6257790969912216E-3</v>
      </c>
      <c r="O22" s="44">
        <f t="shared" si="26"/>
        <v>1.0906400000000005</v>
      </c>
      <c r="P22" s="17">
        <f t="shared" si="27"/>
        <v>2.6274150807034463E-2</v>
      </c>
      <c r="Q22" s="57" t="s">
        <v>73</v>
      </c>
    </row>
    <row r="23" spans="1:18" ht="15" customHeight="1" x14ac:dyDescent="0.2">
      <c r="A23" s="13" t="s">
        <v>33</v>
      </c>
      <c r="B23" s="67" t="s">
        <v>87</v>
      </c>
      <c r="C23" s="14"/>
      <c r="E23">
        <v>2.37</v>
      </c>
      <c r="F23">
        <v>31.19</v>
      </c>
      <c r="G23" s="38">
        <f t="shared" si="5"/>
        <v>13.160337552742616</v>
      </c>
      <c r="H23" s="35">
        <v>15.16</v>
      </c>
      <c r="K23" s="26" t="str">
        <f t="shared" si="14"/>
        <v>-</v>
      </c>
      <c r="L23" s="35">
        <f t="shared" si="15"/>
        <v>2.37</v>
      </c>
      <c r="M23" s="49">
        <f t="shared" si="25"/>
        <v>35.929200000000002</v>
      </c>
      <c r="N23" s="54">
        <f>M23/SUM($M$9:$M$29)</f>
        <v>8.1183414693210484E-3</v>
      </c>
      <c r="O23" s="44">
        <f t="shared" si="26"/>
        <v>4.7392000000000003</v>
      </c>
      <c r="P23" s="17">
        <f t="shared" si="27"/>
        <v>0.15194613658223791</v>
      </c>
      <c r="Q23" s="57" t="s">
        <v>73</v>
      </c>
    </row>
    <row r="24" spans="1:18" ht="15" customHeight="1" x14ac:dyDescent="0.2">
      <c r="A24" s="13"/>
      <c r="B24" s="67"/>
      <c r="C24" s="14"/>
      <c r="G24" s="38"/>
      <c r="H24" s="35"/>
      <c r="K24" s="26"/>
      <c r="L24" s="35"/>
      <c r="M24" s="49"/>
      <c r="N24" s="54"/>
      <c r="O24" s="44"/>
      <c r="P24" s="17"/>
      <c r="Q24" s="57"/>
    </row>
    <row r="25" spans="1:18" ht="15" customHeight="1" x14ac:dyDescent="0.2">
      <c r="A25" s="13" t="s">
        <v>33</v>
      </c>
      <c r="B25" s="67" t="s">
        <v>85</v>
      </c>
      <c r="C25" s="14"/>
      <c r="E25">
        <v>3.3</v>
      </c>
      <c r="F25">
        <v>24.07</v>
      </c>
      <c r="G25" s="38">
        <f t="shared" si="5"/>
        <v>7.2939393939393948</v>
      </c>
      <c r="H25" s="35">
        <v>7.42</v>
      </c>
      <c r="K25" s="26" t="str">
        <f t="shared" si="14"/>
        <v>-</v>
      </c>
      <c r="L25" s="35">
        <f t="shared" si="15"/>
        <v>3.3</v>
      </c>
      <c r="M25" s="49">
        <f t="shared" si="25"/>
        <v>24.485999999999997</v>
      </c>
      <c r="N25" s="54">
        <f>M25/SUM($M$9:$M$29)</f>
        <v>5.532706244998362E-3</v>
      </c>
      <c r="O25" s="44">
        <f t="shared" si="26"/>
        <v>0.41599999999999682</v>
      </c>
      <c r="P25" s="17">
        <f t="shared" si="27"/>
        <v>1.7282924802658778E-2</v>
      </c>
      <c r="Q25" s="57" t="s">
        <v>73</v>
      </c>
    </row>
    <row r="26" spans="1:18" ht="15.75" customHeight="1" x14ac:dyDescent="0.2">
      <c r="A26" s="13"/>
      <c r="B26" s="14"/>
      <c r="C26" s="14"/>
      <c r="D26" s="14"/>
      <c r="G26" s="38"/>
      <c r="H26" s="35"/>
      <c r="I26" s="35"/>
      <c r="J26" s="35"/>
      <c r="K26" s="26" t="str">
        <f t="shared" si="14"/>
        <v>-</v>
      </c>
      <c r="L26" s="35"/>
      <c r="M26" s="50"/>
      <c r="N26" s="54"/>
      <c r="O26" s="44"/>
      <c r="P26" s="17"/>
      <c r="Q26" s="57"/>
    </row>
    <row r="27" spans="1:18" ht="15.75" customHeight="1" x14ac:dyDescent="0.2">
      <c r="A27" s="13" t="s">
        <v>33</v>
      </c>
      <c r="B27" s="66" t="s">
        <v>41</v>
      </c>
      <c r="C27" s="68">
        <v>45251</v>
      </c>
      <c r="E27" s="35">
        <f>29.9+20+20</f>
        <v>69.900000000000006</v>
      </c>
      <c r="F27">
        <f>29.9+36+30</f>
        <v>95.9</v>
      </c>
      <c r="G27" s="38">
        <f>F27/E27</f>
        <v>1.3719599427753935</v>
      </c>
      <c r="H27" s="35">
        <v>0.52600000000000002</v>
      </c>
      <c r="K27" s="26" t="str">
        <f t="shared" si="14"/>
        <v>-</v>
      </c>
      <c r="L27" s="35">
        <f t="shared" ref="L27:L28" si="28">E27-I27</f>
        <v>69.900000000000006</v>
      </c>
      <c r="M27" s="49">
        <f t="shared" ref="M27:M28" si="29">(E27-I27)*H27</f>
        <v>36.767400000000002</v>
      </c>
      <c r="N27" s="54">
        <f>M27/SUM($M$9:$M$29)</f>
        <v>8.3077359957670835E-3</v>
      </c>
      <c r="O27" s="44">
        <f t="shared" ref="O27:O28" si="30">(J27+M27)-F27</f>
        <v>-59.132600000000004</v>
      </c>
      <c r="P27" s="17">
        <f t="shared" ref="P27:P28" si="31">O27/F27</f>
        <v>-0.61660688216892601</v>
      </c>
      <c r="Q27" s="57" t="s">
        <v>56</v>
      </c>
      <c r="R27" t="s">
        <v>57</v>
      </c>
    </row>
    <row r="28" spans="1:18" ht="15.75" customHeight="1" x14ac:dyDescent="0.2">
      <c r="A28" s="13" t="s">
        <v>33</v>
      </c>
      <c r="B28" s="14" t="s">
        <v>45</v>
      </c>
      <c r="C28" s="14">
        <v>45385</v>
      </c>
      <c r="E28">
        <v>10</v>
      </c>
      <c r="F28">
        <v>30</v>
      </c>
      <c r="G28" s="38">
        <f t="shared" si="5"/>
        <v>3</v>
      </c>
      <c r="H28" s="35">
        <v>0.77100000000000002</v>
      </c>
      <c r="K28" s="26" t="str">
        <f t="shared" si="14"/>
        <v>-</v>
      </c>
      <c r="L28" s="35">
        <f t="shared" si="28"/>
        <v>10</v>
      </c>
      <c r="M28" s="49">
        <f t="shared" si="29"/>
        <v>7.71</v>
      </c>
      <c r="N28" s="54">
        <f>M28/SUM($M$9:$M$29)</f>
        <v>1.7421042697434198E-3</v>
      </c>
      <c r="O28" s="44">
        <f t="shared" si="30"/>
        <v>-22.29</v>
      </c>
      <c r="P28" s="17">
        <f t="shared" si="31"/>
        <v>-0.74299999999999999</v>
      </c>
      <c r="Q28" s="57" t="s">
        <v>56</v>
      </c>
      <c r="R28" t="s">
        <v>57</v>
      </c>
    </row>
    <row r="30" spans="1:18" ht="15.75" customHeight="1" x14ac:dyDescent="0.2">
      <c r="A30" s="14"/>
      <c r="B30" s="14"/>
      <c r="G30" s="35"/>
    </row>
    <row r="31" spans="1:18" ht="15.75" customHeight="1" x14ac:dyDescent="0.2">
      <c r="A31" s="14"/>
      <c r="B31" s="14"/>
      <c r="G31" s="35"/>
    </row>
    <row r="32" spans="1:18" ht="15.75" customHeight="1" x14ac:dyDescent="0.2">
      <c r="A32" s="14"/>
      <c r="B32" s="14"/>
      <c r="G32" s="35"/>
    </row>
    <row r="33" spans="1:16" ht="15.75" customHeight="1" x14ac:dyDescent="0.2">
      <c r="A33" s="14"/>
      <c r="B33" s="14"/>
      <c r="G33" s="35"/>
    </row>
    <row r="34" spans="1:16" ht="15.75" customHeight="1" x14ac:dyDescent="0.2">
      <c r="A34" s="14"/>
      <c r="B34" s="14"/>
      <c r="G34" s="35"/>
    </row>
    <row r="35" spans="1:16" ht="15.75" customHeight="1" x14ac:dyDescent="0.2">
      <c r="A35" s="14"/>
      <c r="B35" s="14"/>
      <c r="G35" s="35"/>
    </row>
    <row r="36" spans="1:16" ht="15.75" customHeight="1" x14ac:dyDescent="0.2">
      <c r="A36" s="14"/>
      <c r="B36" s="14"/>
      <c r="G36" s="35"/>
    </row>
    <row r="37" spans="1:16" ht="15.75" customHeight="1" x14ac:dyDescent="0.2">
      <c r="A37" s="14"/>
      <c r="B37" s="14"/>
      <c r="G37" s="35"/>
    </row>
    <row r="38" spans="1:16" ht="15.75" customHeight="1" x14ac:dyDescent="0.2">
      <c r="A38" s="14"/>
      <c r="B38" s="14"/>
      <c r="F38" s="35"/>
      <c r="G38" s="35"/>
    </row>
    <row r="39" spans="1:16" ht="15.75" customHeight="1" x14ac:dyDescent="0.2">
      <c r="A39" s="14"/>
      <c r="B39" s="52"/>
      <c r="F39" s="35"/>
      <c r="G39" s="35"/>
    </row>
    <row r="40" spans="1:16" ht="15.75" customHeight="1" x14ac:dyDescent="0.2">
      <c r="A40" s="14"/>
    </row>
    <row r="41" spans="1:16" ht="15.75" customHeight="1" x14ac:dyDescent="0.2">
      <c r="A41" s="14"/>
      <c r="G41" s="56"/>
    </row>
    <row r="42" spans="1:16" ht="15.75" customHeight="1" x14ac:dyDescent="0.2">
      <c r="A42" s="14"/>
    </row>
    <row r="43" spans="1:16" ht="15.75" customHeight="1" x14ac:dyDescent="0.2">
      <c r="A43" s="14"/>
    </row>
    <row r="44" spans="1:16" ht="15.75" customHeight="1" x14ac:dyDescent="0.2">
      <c r="A44" s="14"/>
    </row>
    <row r="45" spans="1:16" ht="15.75" customHeight="1" x14ac:dyDescent="0.2">
      <c r="A45" s="14"/>
      <c r="F45" s="36"/>
      <c r="J45" s="36"/>
      <c r="N45" s="36"/>
    </row>
    <row r="46" spans="1:16" ht="15.75" customHeight="1" x14ac:dyDescent="0.2">
      <c r="F46" s="63"/>
      <c r="J46" s="63"/>
      <c r="M46" s="63"/>
      <c r="P46" s="65"/>
    </row>
    <row r="47" spans="1:16" ht="15.75" customHeight="1" x14ac:dyDescent="0.2">
      <c r="F47" s="56"/>
      <c r="J47" s="56"/>
      <c r="M47" s="56"/>
      <c r="P47" s="65"/>
    </row>
    <row r="48" spans="1:16" ht="15.75" customHeight="1" x14ac:dyDescent="0.2">
      <c r="F48" s="56"/>
      <c r="J48" s="56"/>
      <c r="M48" s="56"/>
      <c r="P48" s="65"/>
    </row>
    <row r="49" spans="3:16" ht="15.75" customHeight="1" x14ac:dyDescent="0.2">
      <c r="C49" s="48"/>
      <c r="F49" s="63"/>
      <c r="J49" s="63"/>
      <c r="M49" s="63"/>
      <c r="P49" s="65"/>
    </row>
    <row r="50" spans="3:16" ht="15.75" customHeight="1" x14ac:dyDescent="0.2">
      <c r="C50" s="48"/>
      <c r="F50" s="56"/>
      <c r="J50" s="62"/>
      <c r="M50" s="56"/>
      <c r="P50" s="65"/>
    </row>
    <row r="51" spans="3:16" ht="15.75" customHeight="1" x14ac:dyDescent="0.2">
      <c r="C51" s="48"/>
      <c r="F51" s="56"/>
      <c r="J51" s="62"/>
      <c r="M51" s="56"/>
      <c r="P51" s="65"/>
    </row>
    <row r="52" spans="3:16" ht="15.75" customHeight="1" x14ac:dyDescent="0.2">
      <c r="C52" s="48"/>
      <c r="F52" s="56"/>
      <c r="J52" s="62"/>
      <c r="M52" s="56"/>
      <c r="P52" s="65"/>
    </row>
    <row r="53" spans="3:16" ht="15.75" customHeight="1" x14ac:dyDescent="0.2">
      <c r="C53" s="48"/>
      <c r="F53" s="63"/>
      <c r="J53" s="64"/>
      <c r="M53" s="63"/>
      <c r="P53" s="65"/>
    </row>
    <row r="54" spans="3:16" ht="15.75" customHeight="1" x14ac:dyDescent="0.2">
      <c r="C54" s="48"/>
      <c r="F54" s="56"/>
      <c r="J54" s="62"/>
      <c r="M54" s="56"/>
      <c r="P54" s="65"/>
    </row>
    <row r="55" spans="3:16" ht="15.75" customHeight="1" x14ac:dyDescent="0.2">
      <c r="C55" s="14"/>
      <c r="F55" s="56"/>
      <c r="J55" s="62"/>
      <c r="M55" s="56"/>
      <c r="P55" s="65"/>
    </row>
    <row r="56" spans="3:16" ht="15.75" customHeight="1" x14ac:dyDescent="0.2">
      <c r="C56" s="14"/>
      <c r="D56" s="35"/>
      <c r="F56" s="56"/>
      <c r="J56" s="62"/>
      <c r="M56" s="56"/>
      <c r="P56" s="65"/>
    </row>
    <row r="57" spans="3:16" ht="15.75" customHeight="1" x14ac:dyDescent="0.2">
      <c r="C57" s="14"/>
      <c r="D57" s="35"/>
      <c r="F57" s="56"/>
      <c r="J57" s="62"/>
      <c r="M57" s="56"/>
      <c r="P57" s="65"/>
    </row>
    <row r="58" spans="3:16" ht="15.75" customHeight="1" x14ac:dyDescent="0.2">
      <c r="C58" s="14"/>
      <c r="D58" s="35"/>
      <c r="F58" s="56"/>
      <c r="J58" s="62"/>
      <c r="M58" s="56"/>
      <c r="P58" s="65"/>
    </row>
    <row r="59" spans="3:16" ht="15.75" customHeight="1" x14ac:dyDescent="0.2">
      <c r="J59" s="62"/>
      <c r="M59" s="56"/>
      <c r="P59" s="65"/>
    </row>
    <row r="60" spans="3:16" ht="15.75" customHeight="1" x14ac:dyDescent="0.2">
      <c r="J60" s="62"/>
      <c r="M60" s="62"/>
      <c r="P60" s="65"/>
    </row>
    <row r="61" spans="3:16" ht="15.75" customHeight="1" x14ac:dyDescent="0.2">
      <c r="J61" s="62"/>
      <c r="M61" s="62"/>
      <c r="P61" s="65"/>
    </row>
    <row r="62" spans="3:16" ht="15.75" customHeight="1" x14ac:dyDescent="0.2">
      <c r="J62" s="62"/>
      <c r="M62" s="62"/>
      <c r="P62" s="65"/>
    </row>
    <row r="63" spans="3:16" ht="15.75" customHeight="1" x14ac:dyDescent="0.2">
      <c r="F63" s="56"/>
      <c r="J63" s="62"/>
      <c r="M63" s="62"/>
      <c r="P63" s="65"/>
    </row>
    <row r="64" spans="3:16" ht="15.75" customHeight="1" x14ac:dyDescent="0.2">
      <c r="F64" s="56"/>
      <c r="M64" s="62"/>
      <c r="P64" s="65"/>
    </row>
    <row r="65" spans="13:16" ht="15.75" customHeight="1" x14ac:dyDescent="0.2">
      <c r="M65" s="62"/>
      <c r="P65" s="65"/>
    </row>
    <row r="66" spans="13:16" ht="15.75" customHeight="1" x14ac:dyDescent="0.2">
      <c r="M66" s="62"/>
      <c r="P66" s="65"/>
    </row>
    <row r="67" spans="13:16" ht="15.75" customHeight="1" x14ac:dyDescent="0.2">
      <c r="M67" s="62"/>
      <c r="P67" s="65"/>
    </row>
    <row r="68" spans="13:16" ht="15.75" customHeight="1" x14ac:dyDescent="0.2">
      <c r="M68" s="62"/>
      <c r="P68" s="65"/>
    </row>
    <row r="69" spans="13:16" ht="15.75" customHeight="1" x14ac:dyDescent="0.2">
      <c r="M69" s="62"/>
      <c r="P69" s="65"/>
    </row>
    <row r="70" spans="13:16" ht="15.75" customHeight="1" x14ac:dyDescent="0.2">
      <c r="M70" s="62"/>
      <c r="P70" s="65"/>
    </row>
    <row r="71" spans="13:16" ht="15.75" customHeight="1" x14ac:dyDescent="0.2">
      <c r="M71" s="62"/>
      <c r="P71" s="65"/>
    </row>
    <row r="72" spans="13:16" ht="15.75" customHeight="1" x14ac:dyDescent="0.2">
      <c r="M72" s="62"/>
      <c r="P72" s="65"/>
    </row>
    <row r="73" spans="13:16" ht="15.75" customHeight="1" x14ac:dyDescent="0.2"/>
    <row r="74" spans="13:16" ht="15.75" customHeight="1" x14ac:dyDescent="0.2"/>
    <row r="75" spans="13:16" ht="15.75" customHeight="1" x14ac:dyDescent="0.2"/>
    <row r="76" spans="13:16" ht="15.75" customHeight="1" x14ac:dyDescent="0.2"/>
    <row r="77" spans="13:16" ht="15.75" customHeight="1" x14ac:dyDescent="0.2"/>
    <row r="78" spans="13:16" ht="15.75" customHeight="1" x14ac:dyDescent="0.2"/>
    <row r="79" spans="13:16" ht="15.75" customHeight="1" x14ac:dyDescent="0.2"/>
    <row r="80" spans="13:16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</sheetData>
  <autoFilter ref="A8:D29" xr:uid="{00000000-0009-0000-0000-000001000000}"/>
  <conditionalFormatting sqref="P7 P9:P28">
    <cfRule type="cellIs" dxfId="1" priority="6" operator="greaterThan">
      <formula>0</formula>
    </cfRule>
    <cfRule type="cellIs" dxfId="0" priority="7" operator="lessThan">
      <formula>0</formula>
    </cfRule>
  </conditionalFormatting>
  <dataValidations count="1">
    <dataValidation type="list" allowBlank="1" sqref="A9:A28" xr:uid="{9A28A859-5678-4ED5-A09A-E14E05DEB354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0" r:id="rId4" name="Button 6">
              <controlPr defaultSize="0" print="0" autoFill="0" autoPict="0" macro="[0]!Module1.UpdatePortfolioPrices">
                <anchor moveWithCells="1" sizeWithCells="1">
                  <from>
                    <xdr:col>5</xdr:col>
                    <xdr:colOff>361950</xdr:colOff>
                    <xdr:row>3</xdr:row>
                    <xdr:rowOff>47625</xdr:rowOff>
                  </from>
                  <to>
                    <xdr:col>7</xdr:col>
                    <xdr:colOff>333375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5" name="Button 7">
              <controlPr defaultSize="0" print="0" autoFill="0" autoPict="0" macro="[0]!UpdateDailyDataCashCoin">
                <anchor moveWithCells="1" sizeWithCells="1">
                  <from>
                    <xdr:col>8</xdr:col>
                    <xdr:colOff>209550</xdr:colOff>
                    <xdr:row>2</xdr:row>
                    <xdr:rowOff>161925</xdr:rowOff>
                  </from>
                  <to>
                    <xdr:col>9</xdr:col>
                    <xdr:colOff>619125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6" name="Button 8">
              <controlPr defaultSize="0" print="0" autoFill="0" autoPict="0" macro="[0]!BuildDashboardCompositionChart_AllDates">
                <anchor moveWithCells="1" sizeWithCells="1">
                  <from>
                    <xdr:col>10</xdr:col>
                    <xdr:colOff>247650</xdr:colOff>
                    <xdr:row>3</xdr:row>
                    <xdr:rowOff>85725</xdr:rowOff>
                  </from>
                  <to>
                    <xdr:col>11</xdr:col>
                    <xdr:colOff>409575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E3CB8-B30C-47A7-B4FD-42A48BC1DDFC}">
  <sheetPr codeName="Sheet3">
    <outlinePr summaryBelow="0" summaryRight="0"/>
  </sheetPr>
  <dimension ref="A1:W213"/>
  <sheetViews>
    <sheetView zoomScale="160" zoomScaleNormal="160" workbookViewId="0">
      <pane ySplit="2" topLeftCell="A42" activePane="bottomLeft" state="frozen"/>
      <selection pane="bottomLeft" activeCell="E65" sqref="E65"/>
    </sheetView>
  </sheetViews>
  <sheetFormatPr defaultColWidth="14.42578125" defaultRowHeight="12.75" x14ac:dyDescent="0.2"/>
  <cols>
    <col min="1" max="1" width="11.28515625" customWidth="1"/>
    <col min="2" max="2" width="9.140625" customWidth="1"/>
    <col min="3" max="3" width="8" customWidth="1"/>
    <col min="4" max="4" width="9.28515625" customWidth="1"/>
    <col min="5" max="6" width="8.85546875" customWidth="1"/>
    <col min="7" max="7" width="44.140625" style="28" customWidth="1"/>
    <col min="8" max="8" width="11.85546875" customWidth="1"/>
    <col min="12" max="12" width="29" customWidth="1"/>
    <col min="13" max="13" width="33.28515625" customWidth="1"/>
  </cols>
  <sheetData>
    <row r="1" spans="1:23" x14ac:dyDescent="0.2">
      <c r="A1" s="19" t="s">
        <v>62</v>
      </c>
      <c r="B1" s="20"/>
      <c r="C1" s="20"/>
      <c r="D1" s="20"/>
      <c r="E1" s="20"/>
      <c r="F1" s="20"/>
      <c r="G1" s="27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</row>
    <row r="2" spans="1:23" x14ac:dyDescent="0.2">
      <c r="A2" s="100" t="s">
        <v>105</v>
      </c>
      <c r="B2" s="100" t="s">
        <v>110</v>
      </c>
      <c r="C2" s="100" t="s">
        <v>111</v>
      </c>
      <c r="D2" s="101" t="s">
        <v>112</v>
      </c>
      <c r="E2" s="101" t="s">
        <v>120</v>
      </c>
      <c r="F2" s="101" t="s">
        <v>113</v>
      </c>
      <c r="G2" s="102" t="s">
        <v>114</v>
      </c>
      <c r="H2" s="103" t="s">
        <v>131</v>
      </c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</row>
    <row r="3" spans="1:23" ht="76.5" x14ac:dyDescent="0.2">
      <c r="A3" s="71">
        <v>45383</v>
      </c>
      <c r="B3" s="25" t="s">
        <v>115</v>
      </c>
      <c r="C3" s="105"/>
      <c r="D3" s="105"/>
      <c r="E3" s="105"/>
      <c r="F3" s="105">
        <f>118-45+100+14+40</f>
        <v>227</v>
      </c>
      <c r="G3" s="106" t="s">
        <v>153</v>
      </c>
      <c r="H3" s="25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</row>
    <row r="4" spans="1:23" ht="25.5" x14ac:dyDescent="0.2">
      <c r="A4" s="71">
        <v>45383</v>
      </c>
      <c r="B4" s="25" t="s">
        <v>116</v>
      </c>
      <c r="C4" s="107" t="s">
        <v>34</v>
      </c>
      <c r="D4" s="105">
        <v>3503</v>
      </c>
      <c r="E4" s="105">
        <f>40/D4</f>
        <v>1.1418783899514702E-2</v>
      </c>
      <c r="F4" s="105">
        <v>40</v>
      </c>
      <c r="G4" s="106" t="s">
        <v>154</v>
      </c>
      <c r="H4" s="25" t="s">
        <v>60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</row>
    <row r="5" spans="1:23" ht="25.5" x14ac:dyDescent="0.2">
      <c r="A5" s="71">
        <v>45383</v>
      </c>
      <c r="B5" s="25" t="s">
        <v>115</v>
      </c>
      <c r="C5" s="25"/>
      <c r="D5" s="25"/>
      <c r="E5" s="25"/>
      <c r="F5" s="25">
        <v>200</v>
      </c>
      <c r="G5" s="25" t="s">
        <v>46</v>
      </c>
      <c r="H5" s="25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</row>
    <row r="6" spans="1:23" ht="38.25" x14ac:dyDescent="0.2">
      <c r="A6" s="71">
        <v>45395</v>
      </c>
      <c r="B6" s="25" t="s">
        <v>115</v>
      </c>
      <c r="C6" s="25"/>
      <c r="D6" s="25"/>
      <c r="E6" s="25"/>
      <c r="F6" s="25">
        <v>75</v>
      </c>
      <c r="G6" s="25" t="s">
        <v>47</v>
      </c>
      <c r="H6" s="25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</row>
    <row r="7" spans="1:23" x14ac:dyDescent="0.2">
      <c r="A7" s="71">
        <v>45396</v>
      </c>
      <c r="B7" s="25" t="s">
        <v>116</v>
      </c>
      <c r="C7" s="25" t="s">
        <v>48</v>
      </c>
      <c r="D7" s="25">
        <v>64306</v>
      </c>
      <c r="E7" s="25">
        <v>3.1E-4</v>
      </c>
      <c r="F7" s="25">
        <f>D7*E7</f>
        <v>19.93486</v>
      </c>
      <c r="G7" s="25" t="s">
        <v>49</v>
      </c>
      <c r="H7" s="25" t="s">
        <v>60</v>
      </c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</row>
    <row r="8" spans="1:23" ht="25.5" x14ac:dyDescent="0.2">
      <c r="A8" s="71">
        <v>45399</v>
      </c>
      <c r="B8" s="25" t="s">
        <v>115</v>
      </c>
      <c r="C8" s="25"/>
      <c r="D8" s="25"/>
      <c r="E8" s="25"/>
      <c r="F8" s="25">
        <v>189</v>
      </c>
      <c r="G8" s="25" t="s">
        <v>50</v>
      </c>
      <c r="H8" s="25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</row>
    <row r="9" spans="1:23" x14ac:dyDescent="0.2">
      <c r="A9" s="71">
        <v>45399</v>
      </c>
      <c r="B9" s="25" t="s">
        <v>116</v>
      </c>
      <c r="C9" s="25" t="s">
        <v>48</v>
      </c>
      <c r="D9" s="25">
        <v>60000</v>
      </c>
      <c r="E9" s="25">
        <v>1.57E-3</v>
      </c>
      <c r="F9" s="25">
        <f>D9*E9</f>
        <v>94.2</v>
      </c>
      <c r="G9" s="25" t="s">
        <v>51</v>
      </c>
      <c r="H9" s="25" t="s">
        <v>60</v>
      </c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</row>
    <row r="10" spans="1:23" x14ac:dyDescent="0.2">
      <c r="A10" s="71">
        <v>45399</v>
      </c>
      <c r="B10" s="25" t="s">
        <v>116</v>
      </c>
      <c r="C10" s="25" t="s">
        <v>34</v>
      </c>
      <c r="D10" s="25">
        <v>2969</v>
      </c>
      <c r="E10" s="25">
        <v>3.1800000000000002E-2</v>
      </c>
      <c r="F10" s="25">
        <f>D10*E10</f>
        <v>94.414200000000008</v>
      </c>
      <c r="G10" s="25" t="s">
        <v>52</v>
      </c>
      <c r="H10" s="25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</row>
    <row r="11" spans="1:23" x14ac:dyDescent="0.2">
      <c r="A11" s="71">
        <v>45457</v>
      </c>
      <c r="B11" s="25" t="s">
        <v>115</v>
      </c>
      <c r="C11" s="25"/>
      <c r="D11" s="25"/>
      <c r="E11" s="25"/>
      <c r="F11" s="25">
        <v>581</v>
      </c>
      <c r="G11" s="25" t="s">
        <v>59</v>
      </c>
      <c r="H11" s="25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</row>
    <row r="12" spans="1:23" x14ac:dyDescent="0.2">
      <c r="A12" s="71">
        <v>45461</v>
      </c>
      <c r="B12" s="25" t="s">
        <v>116</v>
      </c>
      <c r="C12" s="25" t="s">
        <v>48</v>
      </c>
      <c r="D12" s="25">
        <v>65000</v>
      </c>
      <c r="E12" s="25">
        <v>6.1500000000000001E-3</v>
      </c>
      <c r="F12" s="25">
        <f>D12*E12</f>
        <v>399.75</v>
      </c>
      <c r="G12" s="25" t="s">
        <v>69</v>
      </c>
      <c r="H12" s="25" t="s">
        <v>60</v>
      </c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</row>
    <row r="13" spans="1:23" x14ac:dyDescent="0.2">
      <c r="A13" s="71">
        <v>45477</v>
      </c>
      <c r="B13" s="25" t="s">
        <v>116</v>
      </c>
      <c r="C13" s="25" t="s">
        <v>34</v>
      </c>
      <c r="D13" s="25">
        <v>3200</v>
      </c>
      <c r="E13" s="25">
        <v>5.62E-2</v>
      </c>
      <c r="F13" s="25">
        <f>D13*E13</f>
        <v>179.84</v>
      </c>
      <c r="G13" s="25" t="s">
        <v>58</v>
      </c>
      <c r="H13" s="25" t="s">
        <v>60</v>
      </c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</row>
    <row r="14" spans="1:23" x14ac:dyDescent="0.2">
      <c r="A14" s="71">
        <v>45467</v>
      </c>
      <c r="B14" s="25" t="s">
        <v>115</v>
      </c>
      <c r="C14" s="25"/>
      <c r="D14" s="25"/>
      <c r="E14" s="25"/>
      <c r="F14" s="25">
        <v>577</v>
      </c>
      <c r="G14" s="25" t="s">
        <v>63</v>
      </c>
      <c r="H14" s="25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</row>
    <row r="15" spans="1:23" x14ac:dyDescent="0.2">
      <c r="A15" s="71">
        <v>45468</v>
      </c>
      <c r="B15" s="25" t="s">
        <v>116</v>
      </c>
      <c r="C15" s="25" t="s">
        <v>48</v>
      </c>
      <c r="D15" s="25">
        <v>60000</v>
      </c>
      <c r="E15" s="25">
        <v>6.6699999999999997E-3</v>
      </c>
      <c r="F15" s="25">
        <f>D15*E15</f>
        <v>400.2</v>
      </c>
      <c r="G15" s="25" t="s">
        <v>65</v>
      </c>
      <c r="H15" s="25" t="s">
        <v>66</v>
      </c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</row>
    <row r="16" spans="1:23" x14ac:dyDescent="0.2">
      <c r="A16" s="71">
        <v>45477</v>
      </c>
      <c r="B16" s="25" t="s">
        <v>116</v>
      </c>
      <c r="C16" s="25" t="s">
        <v>34</v>
      </c>
      <c r="D16" s="25">
        <v>3200</v>
      </c>
      <c r="E16" s="25">
        <v>5.5E-2</v>
      </c>
      <c r="F16" s="25">
        <f>D16*E16</f>
        <v>176</v>
      </c>
      <c r="G16" s="25" t="s">
        <v>64</v>
      </c>
      <c r="H16" s="25" t="s">
        <v>66</v>
      </c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</row>
    <row r="17" spans="1:23" x14ac:dyDescent="0.2">
      <c r="A17" s="71">
        <v>45481</v>
      </c>
      <c r="B17" s="25" t="s">
        <v>115</v>
      </c>
      <c r="C17" s="25"/>
      <c r="D17" s="25"/>
      <c r="E17" s="25"/>
      <c r="F17" s="25">
        <v>384</v>
      </c>
      <c r="G17" s="25" t="s">
        <v>61</v>
      </c>
      <c r="H17" s="25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</row>
    <row r="18" spans="1:23" x14ac:dyDescent="0.2">
      <c r="A18" s="71">
        <v>45509</v>
      </c>
      <c r="B18" s="25" t="s">
        <v>116</v>
      </c>
      <c r="C18" s="25" t="s">
        <v>48</v>
      </c>
      <c r="D18" s="25">
        <v>55000</v>
      </c>
      <c r="E18" s="25">
        <v>3.4499999999999999E-3</v>
      </c>
      <c r="F18" s="25">
        <f>D18*E18</f>
        <v>189.75</v>
      </c>
      <c r="G18" s="25" t="s">
        <v>67</v>
      </c>
      <c r="H18" s="25" t="s">
        <v>60</v>
      </c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</row>
    <row r="19" spans="1:23" x14ac:dyDescent="0.2">
      <c r="A19" s="71">
        <v>45506</v>
      </c>
      <c r="B19" s="25" t="s">
        <v>116</v>
      </c>
      <c r="C19" s="25" t="s">
        <v>34</v>
      </c>
      <c r="D19" s="25">
        <v>3000</v>
      </c>
      <c r="E19" s="25">
        <v>6.5100000000000005E-2</v>
      </c>
      <c r="F19" s="25">
        <f>D19*E19</f>
        <v>195.3</v>
      </c>
      <c r="G19" s="25" t="s">
        <v>68</v>
      </c>
      <c r="H19" s="25" t="s">
        <v>60</v>
      </c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</row>
    <row r="20" spans="1:23" x14ac:dyDescent="0.2">
      <c r="A20" s="71">
        <v>45541</v>
      </c>
      <c r="B20" s="25" t="s">
        <v>115</v>
      </c>
      <c r="C20" s="25"/>
      <c r="D20" s="25"/>
      <c r="E20" s="25"/>
      <c r="F20" s="25">
        <v>792</v>
      </c>
      <c r="G20" s="25" t="s">
        <v>74</v>
      </c>
      <c r="H20" s="25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</row>
    <row r="21" spans="1:23" x14ac:dyDescent="0.2">
      <c r="A21" s="71">
        <v>45541</v>
      </c>
      <c r="B21" s="25" t="s">
        <v>116</v>
      </c>
      <c r="C21" s="25" t="s">
        <v>48</v>
      </c>
      <c r="D21" s="25">
        <v>54000</v>
      </c>
      <c r="E21" s="25">
        <v>5.5500000000000002E-3</v>
      </c>
      <c r="F21" s="25">
        <f t="shared" ref="F21:F27" si="0">D21*E21</f>
        <v>299.7</v>
      </c>
      <c r="G21" s="25" t="s">
        <v>70</v>
      </c>
      <c r="H21" s="25" t="s">
        <v>66</v>
      </c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</row>
    <row r="22" spans="1:23" x14ac:dyDescent="0.2">
      <c r="A22" s="71">
        <v>45542</v>
      </c>
      <c r="B22" s="25" t="s">
        <v>116</v>
      </c>
      <c r="C22" s="25" t="s">
        <v>34</v>
      </c>
      <c r="D22" s="25">
        <v>2200</v>
      </c>
      <c r="E22" s="25">
        <v>0.1363</v>
      </c>
      <c r="F22" s="25">
        <f t="shared" si="0"/>
        <v>299.86</v>
      </c>
      <c r="G22" s="25" t="s">
        <v>71</v>
      </c>
      <c r="H22" s="25" t="s">
        <v>66</v>
      </c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</row>
    <row r="23" spans="1:23" x14ac:dyDescent="0.2">
      <c r="A23" s="71">
        <v>45595</v>
      </c>
      <c r="B23" s="25" t="s">
        <v>118</v>
      </c>
      <c r="C23" s="25" t="s">
        <v>48</v>
      </c>
      <c r="D23" s="25">
        <v>72347</v>
      </c>
      <c r="E23" s="25">
        <v>6.0000000000000001E-3</v>
      </c>
      <c r="F23" s="25">
        <f t="shared" si="0"/>
        <v>434.08199999999999</v>
      </c>
      <c r="G23" s="25" t="s">
        <v>76</v>
      </c>
      <c r="H23" s="25" t="s">
        <v>66</v>
      </c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</row>
    <row r="24" spans="1:23" x14ac:dyDescent="0.2">
      <c r="A24" s="71">
        <v>45601</v>
      </c>
      <c r="B24" s="25" t="s">
        <v>116</v>
      </c>
      <c r="C24" s="25" t="s">
        <v>34</v>
      </c>
      <c r="D24" s="25">
        <v>2478</v>
      </c>
      <c r="E24" s="25">
        <v>8.4000000000000005E-2</v>
      </c>
      <c r="F24" s="25">
        <f t="shared" si="0"/>
        <v>208.15200000000002</v>
      </c>
      <c r="G24" s="25" t="s">
        <v>75</v>
      </c>
      <c r="H24" s="25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</row>
    <row r="25" spans="1:23" x14ac:dyDescent="0.2">
      <c r="A25" s="71">
        <v>45622</v>
      </c>
      <c r="B25" s="25" t="s">
        <v>118</v>
      </c>
      <c r="C25" s="25" t="s">
        <v>48</v>
      </c>
      <c r="D25" s="25">
        <v>93000</v>
      </c>
      <c r="E25" s="25">
        <v>3.0000000000000001E-3</v>
      </c>
      <c r="F25" s="25">
        <f t="shared" si="0"/>
        <v>279</v>
      </c>
      <c r="G25" s="104" t="s">
        <v>96</v>
      </c>
      <c r="H25" s="25" t="s">
        <v>66</v>
      </c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</row>
    <row r="26" spans="1:23" x14ac:dyDescent="0.2">
      <c r="A26" s="71">
        <v>45622</v>
      </c>
      <c r="B26" s="25" t="s">
        <v>118</v>
      </c>
      <c r="C26" s="25" t="s">
        <v>48</v>
      </c>
      <c r="D26" s="25">
        <v>94000</v>
      </c>
      <c r="E26" s="25">
        <v>6.0000000000000001E-3</v>
      </c>
      <c r="F26" s="25">
        <f t="shared" si="0"/>
        <v>564</v>
      </c>
      <c r="G26" s="104" t="s">
        <v>96</v>
      </c>
      <c r="H26" s="25" t="s">
        <v>60</v>
      </c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</row>
    <row r="27" spans="1:23" x14ac:dyDescent="0.2">
      <c r="A27" s="71">
        <v>45663</v>
      </c>
      <c r="B27" s="25" t="s">
        <v>118</v>
      </c>
      <c r="C27" s="25" t="s">
        <v>48</v>
      </c>
      <c r="D27" s="25">
        <v>100000</v>
      </c>
      <c r="E27" s="25">
        <v>2.7399999999999998E-3</v>
      </c>
      <c r="F27" s="25">
        <f t="shared" si="0"/>
        <v>274</v>
      </c>
      <c r="G27" s="104" t="s">
        <v>79</v>
      </c>
      <c r="H27" s="25" t="s">
        <v>60</v>
      </c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</row>
    <row r="28" spans="1:23" x14ac:dyDescent="0.2">
      <c r="A28" s="71">
        <v>45670</v>
      </c>
      <c r="B28" s="25" t="s">
        <v>115</v>
      </c>
      <c r="C28" s="25"/>
      <c r="D28" s="25"/>
      <c r="E28" s="25"/>
      <c r="F28" s="25">
        <v>115.38</v>
      </c>
      <c r="G28" s="25" t="s">
        <v>101</v>
      </c>
      <c r="H28" s="25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</row>
    <row r="29" spans="1:23" x14ac:dyDescent="0.2">
      <c r="A29" s="71">
        <v>45676</v>
      </c>
      <c r="B29" s="25" t="s">
        <v>118</v>
      </c>
      <c r="C29" s="25" t="s">
        <v>48</v>
      </c>
      <c r="D29" s="25">
        <v>104215</v>
      </c>
      <c r="E29" s="25">
        <v>7.3999999999999999E-4</v>
      </c>
      <c r="F29" s="25">
        <f>D29*E29</f>
        <v>77.119100000000003</v>
      </c>
      <c r="G29" s="104" t="s">
        <v>82</v>
      </c>
      <c r="H29" s="25" t="s">
        <v>60</v>
      </c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</row>
    <row r="30" spans="1:23" x14ac:dyDescent="0.2">
      <c r="A30" s="71">
        <v>45678</v>
      </c>
      <c r="B30" s="25" t="s">
        <v>115</v>
      </c>
      <c r="C30" s="25"/>
      <c r="D30" s="25"/>
      <c r="E30" s="25"/>
      <c r="F30" s="25">
        <v>384.6</v>
      </c>
      <c r="G30" s="25" t="s">
        <v>102</v>
      </c>
      <c r="H30" s="25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</row>
    <row r="31" spans="1:23" x14ac:dyDescent="0.2">
      <c r="A31" s="71">
        <v>45716</v>
      </c>
      <c r="B31" s="25" t="s">
        <v>116</v>
      </c>
      <c r="C31" s="25" t="s">
        <v>34</v>
      </c>
      <c r="D31" s="25">
        <v>2100</v>
      </c>
      <c r="E31" s="25">
        <v>7.1400000000000005E-2</v>
      </c>
      <c r="F31" s="25">
        <f>D31*E31</f>
        <v>149.94</v>
      </c>
      <c r="G31" s="25" t="s">
        <v>84</v>
      </c>
      <c r="H31" s="25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</row>
    <row r="32" spans="1:23" x14ac:dyDescent="0.2">
      <c r="A32" s="71">
        <v>45670</v>
      </c>
      <c r="B32" s="25" t="s">
        <v>116</v>
      </c>
      <c r="C32" s="25" t="s">
        <v>34</v>
      </c>
      <c r="D32" s="25">
        <v>3043</v>
      </c>
      <c r="E32" s="25">
        <v>4.7399999999999998E-2</v>
      </c>
      <c r="F32" s="25">
        <f>D32*E32</f>
        <v>144.23820000000001</v>
      </c>
      <c r="G32" s="25" t="s">
        <v>89</v>
      </c>
      <c r="H32" s="25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</row>
    <row r="33" spans="1:23" x14ac:dyDescent="0.2">
      <c r="A33" s="71">
        <v>45672</v>
      </c>
      <c r="B33" s="25" t="s">
        <v>118</v>
      </c>
      <c r="C33" s="25" t="s">
        <v>48</v>
      </c>
      <c r="D33" s="25">
        <v>99000</v>
      </c>
      <c r="E33" s="25">
        <v>3.21419E-3</v>
      </c>
      <c r="F33" s="25">
        <f>D33*E33</f>
        <v>318.20481000000001</v>
      </c>
      <c r="G33" s="25" t="s">
        <v>90</v>
      </c>
      <c r="H33" s="25" t="s">
        <v>66</v>
      </c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</row>
    <row r="34" spans="1:23" x14ac:dyDescent="0.2">
      <c r="A34" s="71">
        <v>45676</v>
      </c>
      <c r="B34" s="25" t="s">
        <v>118</v>
      </c>
      <c r="C34" s="25" t="s">
        <v>48</v>
      </c>
      <c r="D34" s="25">
        <v>103753</v>
      </c>
      <c r="E34" s="25">
        <v>1.0399999999999999E-4</v>
      </c>
      <c r="F34" s="25">
        <f>D34*E34</f>
        <v>10.790312</v>
      </c>
      <c r="G34" s="25" t="s">
        <v>97</v>
      </c>
      <c r="H34" s="25" t="s">
        <v>66</v>
      </c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</row>
    <row r="35" spans="1:23" ht="25.5" x14ac:dyDescent="0.2">
      <c r="A35" s="71">
        <v>45750</v>
      </c>
      <c r="B35" s="25" t="s">
        <v>118</v>
      </c>
      <c r="C35" s="25" t="s">
        <v>48</v>
      </c>
      <c r="D35" s="25">
        <v>83000</v>
      </c>
      <c r="E35" s="25">
        <v>2E-3</v>
      </c>
      <c r="F35" s="25">
        <f>D35*E35</f>
        <v>166</v>
      </c>
      <c r="G35" s="25" t="s">
        <v>98</v>
      </c>
      <c r="H35" s="25" t="s">
        <v>60</v>
      </c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</row>
    <row r="36" spans="1:23" ht="38.25" x14ac:dyDescent="0.2">
      <c r="A36" s="71">
        <v>45793</v>
      </c>
      <c r="B36" s="25" t="s">
        <v>115</v>
      </c>
      <c r="C36" s="25"/>
      <c r="D36" s="25"/>
      <c r="E36" s="25"/>
      <c r="F36" s="25">
        <v>1104</v>
      </c>
      <c r="G36" s="25" t="s">
        <v>103</v>
      </c>
      <c r="H36" s="25" t="s">
        <v>60</v>
      </c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</row>
    <row r="37" spans="1:23" ht="25.5" x14ac:dyDescent="0.2">
      <c r="A37" s="71">
        <v>45835</v>
      </c>
      <c r="B37" s="25" t="s">
        <v>117</v>
      </c>
      <c r="C37" s="25"/>
      <c r="D37" s="25"/>
      <c r="E37" s="25"/>
      <c r="F37" s="25">
        <v>300</v>
      </c>
      <c r="G37" s="25" t="s">
        <v>607</v>
      </c>
      <c r="H37" s="25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</row>
    <row r="38" spans="1:23" x14ac:dyDescent="0.2">
      <c r="A38" s="71">
        <v>45870</v>
      </c>
      <c r="B38" s="25" t="s">
        <v>116</v>
      </c>
      <c r="C38" s="25" t="s">
        <v>78</v>
      </c>
      <c r="D38" s="25">
        <v>757.8</v>
      </c>
      <c r="E38" s="25">
        <v>0.58620000000000005</v>
      </c>
      <c r="F38" s="25">
        <f t="shared" ref="F38:F61" si="1">D38*E38</f>
        <v>444.22236000000004</v>
      </c>
      <c r="G38" s="25" t="s">
        <v>152</v>
      </c>
      <c r="H38" s="25" t="s">
        <v>60</v>
      </c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</row>
    <row r="39" spans="1:23" x14ac:dyDescent="0.2">
      <c r="A39" s="71">
        <v>45870</v>
      </c>
      <c r="B39" s="25" t="s">
        <v>116</v>
      </c>
      <c r="C39" s="25" t="s">
        <v>37</v>
      </c>
      <c r="D39" s="25">
        <v>0.71409999999999996</v>
      </c>
      <c r="E39" s="25">
        <v>408.81</v>
      </c>
      <c r="F39" s="25">
        <f t="shared" si="1"/>
        <v>291.93122099999999</v>
      </c>
      <c r="G39" s="25" t="s">
        <v>152</v>
      </c>
      <c r="H39" s="25" t="s">
        <v>60</v>
      </c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</row>
    <row r="40" spans="1:23" x14ac:dyDescent="0.2">
      <c r="A40" s="71">
        <v>45870</v>
      </c>
      <c r="B40" s="25" t="s">
        <v>116</v>
      </c>
      <c r="C40" s="25" t="s">
        <v>99</v>
      </c>
      <c r="D40" s="25">
        <v>3.45</v>
      </c>
      <c r="E40" s="25">
        <v>25.1</v>
      </c>
      <c r="F40" s="25">
        <f t="shared" si="1"/>
        <v>86.595000000000013</v>
      </c>
      <c r="G40" s="25" t="s">
        <v>152</v>
      </c>
      <c r="H40" s="25" t="s">
        <v>60</v>
      </c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</row>
    <row r="41" spans="1:23" x14ac:dyDescent="0.2">
      <c r="A41" s="71">
        <v>45870</v>
      </c>
      <c r="B41" s="25" t="s">
        <v>116</v>
      </c>
      <c r="C41" s="25" t="s">
        <v>83</v>
      </c>
      <c r="D41" s="25">
        <v>2.2599999999999999E-2</v>
      </c>
      <c r="E41" s="25">
        <v>2059</v>
      </c>
      <c r="F41" s="25">
        <f t="shared" si="1"/>
        <v>46.5334</v>
      </c>
      <c r="G41" s="25" t="s">
        <v>152</v>
      </c>
      <c r="H41" s="25" t="s">
        <v>60</v>
      </c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</row>
    <row r="42" spans="1:23" x14ac:dyDescent="0.2">
      <c r="A42" s="71">
        <v>45870</v>
      </c>
      <c r="B42" s="25" t="s">
        <v>116</v>
      </c>
      <c r="C42" s="25" t="s">
        <v>81</v>
      </c>
      <c r="D42" s="25">
        <v>0.2361</v>
      </c>
      <c r="E42" s="25">
        <v>146.86000000000001</v>
      </c>
      <c r="F42" s="25">
        <f t="shared" si="1"/>
        <v>34.673646000000005</v>
      </c>
      <c r="G42" s="25" t="s">
        <v>152</v>
      </c>
      <c r="H42" s="25" t="s">
        <v>60</v>
      </c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</row>
    <row r="43" spans="1:23" x14ac:dyDescent="0.2">
      <c r="A43" s="71">
        <v>45870</v>
      </c>
      <c r="B43" s="25" t="s">
        <v>116</v>
      </c>
      <c r="C43" s="25" t="s">
        <v>80</v>
      </c>
      <c r="D43" s="25">
        <v>2.4140000000000001</v>
      </c>
      <c r="E43" s="25">
        <v>9.89</v>
      </c>
      <c r="F43" s="25">
        <f t="shared" si="1"/>
        <v>23.874460000000003</v>
      </c>
      <c r="G43" s="25" t="s">
        <v>152</v>
      </c>
      <c r="H43" s="25" t="s">
        <v>60</v>
      </c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</row>
    <row r="44" spans="1:23" x14ac:dyDescent="0.2">
      <c r="A44" s="71">
        <v>45870</v>
      </c>
      <c r="B44" s="25" t="s">
        <v>116</v>
      </c>
      <c r="C44" s="25" t="s">
        <v>35</v>
      </c>
      <c r="D44" s="25">
        <v>162.71</v>
      </c>
      <c r="E44" s="25">
        <v>4.0435999999999996</v>
      </c>
      <c r="F44" s="25">
        <f t="shared" si="1"/>
        <v>657.93415600000003</v>
      </c>
      <c r="G44" s="25" t="s">
        <v>152</v>
      </c>
      <c r="H44" s="25" t="s">
        <v>66</v>
      </c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</row>
    <row r="45" spans="1:23" x14ac:dyDescent="0.2">
      <c r="A45" s="71">
        <v>45870</v>
      </c>
      <c r="B45" s="25" t="s">
        <v>116</v>
      </c>
      <c r="C45" s="25" t="s">
        <v>77</v>
      </c>
      <c r="D45" s="25">
        <v>0.96399999999999997</v>
      </c>
      <c r="E45" s="25">
        <v>93.75</v>
      </c>
      <c r="F45" s="25">
        <f t="shared" si="1"/>
        <v>90.375</v>
      </c>
      <c r="G45" s="25" t="s">
        <v>152</v>
      </c>
      <c r="H45" s="25" t="s">
        <v>66</v>
      </c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</row>
    <row r="46" spans="1:23" x14ac:dyDescent="0.2">
      <c r="A46" s="71">
        <v>45870</v>
      </c>
      <c r="B46" s="25" t="s">
        <v>116</v>
      </c>
      <c r="C46" s="25" t="s">
        <v>109</v>
      </c>
      <c r="D46" s="25">
        <v>0.88990000000000002</v>
      </c>
      <c r="E46" s="25">
        <v>76.02</v>
      </c>
      <c r="F46" s="25">
        <f t="shared" si="1"/>
        <v>67.650198000000003</v>
      </c>
      <c r="G46" s="25" t="s">
        <v>152</v>
      </c>
      <c r="H46" s="25" t="s">
        <v>66</v>
      </c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</row>
    <row r="47" spans="1:23" x14ac:dyDescent="0.2">
      <c r="A47" s="71">
        <v>45870</v>
      </c>
      <c r="B47" s="25" t="s">
        <v>116</v>
      </c>
      <c r="C47" s="25" t="s">
        <v>88</v>
      </c>
      <c r="D47" s="25">
        <v>16.07</v>
      </c>
      <c r="E47" s="25">
        <v>2.5</v>
      </c>
      <c r="F47" s="25">
        <f t="shared" si="1"/>
        <v>40.174999999999997</v>
      </c>
      <c r="G47" s="25" t="s">
        <v>152</v>
      </c>
      <c r="H47" s="25" t="s">
        <v>66</v>
      </c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</row>
    <row r="48" spans="1:23" x14ac:dyDescent="0.2">
      <c r="A48" s="71">
        <v>45870</v>
      </c>
      <c r="B48" s="25" t="s">
        <v>116</v>
      </c>
      <c r="C48" s="25" t="s">
        <v>86</v>
      </c>
      <c r="D48" s="25">
        <v>9.0370000000000008</v>
      </c>
      <c r="E48" s="25">
        <v>3.8220000000000001</v>
      </c>
      <c r="F48" s="25">
        <f t="shared" si="1"/>
        <v>34.539414000000001</v>
      </c>
      <c r="G48" s="25" t="s">
        <v>152</v>
      </c>
      <c r="H48" s="25" t="s">
        <v>66</v>
      </c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</row>
    <row r="49" spans="1:23" x14ac:dyDescent="0.2">
      <c r="A49" s="71">
        <v>45870</v>
      </c>
      <c r="B49" s="25" t="s">
        <v>116</v>
      </c>
      <c r="C49" s="25" t="s">
        <v>87</v>
      </c>
      <c r="D49" s="25">
        <v>12.55</v>
      </c>
      <c r="E49" s="25">
        <v>2.3740000000000001</v>
      </c>
      <c r="F49" s="25">
        <f t="shared" si="1"/>
        <v>29.793700000000005</v>
      </c>
      <c r="G49" s="25" t="s">
        <v>152</v>
      </c>
      <c r="H49" s="25" t="s">
        <v>66</v>
      </c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</row>
    <row r="50" spans="1:23" x14ac:dyDescent="0.2">
      <c r="A50" s="71">
        <v>45870</v>
      </c>
      <c r="B50" s="25" t="s">
        <v>116</v>
      </c>
      <c r="C50" s="25" t="s">
        <v>85</v>
      </c>
      <c r="D50" s="25">
        <v>6.94</v>
      </c>
      <c r="E50" s="25">
        <v>3.3</v>
      </c>
      <c r="F50" s="25">
        <f t="shared" si="1"/>
        <v>22.902000000000001</v>
      </c>
      <c r="G50" s="25" t="s">
        <v>152</v>
      </c>
      <c r="H50" s="25" t="s">
        <v>66</v>
      </c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</row>
    <row r="51" spans="1:23" x14ac:dyDescent="0.2">
      <c r="A51" s="71">
        <v>45870</v>
      </c>
      <c r="B51" s="25" t="s">
        <v>116</v>
      </c>
      <c r="C51" s="25" t="s">
        <v>608</v>
      </c>
      <c r="D51" s="25">
        <v>1</v>
      </c>
      <c r="E51" s="25">
        <v>387.7</v>
      </c>
      <c r="F51" s="25">
        <f t="shared" si="1"/>
        <v>387.7</v>
      </c>
      <c r="G51" s="25"/>
      <c r="H51" s="25" t="s">
        <v>137</v>
      </c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</row>
    <row r="52" spans="1:23" x14ac:dyDescent="0.2">
      <c r="A52" s="71">
        <v>45870</v>
      </c>
      <c r="B52" s="25" t="s">
        <v>118</v>
      </c>
      <c r="C52" s="25" t="s">
        <v>608</v>
      </c>
      <c r="D52" s="25">
        <v>0</v>
      </c>
      <c r="E52" s="25">
        <v>387.7</v>
      </c>
      <c r="F52" s="25">
        <f t="shared" si="1"/>
        <v>0</v>
      </c>
      <c r="G52" s="25" t="s">
        <v>609</v>
      </c>
      <c r="H52" s="25" t="s">
        <v>137</v>
      </c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</row>
    <row r="53" spans="1:23" x14ac:dyDescent="0.2">
      <c r="A53" s="71">
        <v>45887</v>
      </c>
      <c r="B53" s="25" t="s">
        <v>116</v>
      </c>
      <c r="C53" s="25" t="s">
        <v>34</v>
      </c>
      <c r="D53" s="25">
        <v>4300</v>
      </c>
      <c r="E53" s="25">
        <v>4.6511627906976744E-2</v>
      </c>
      <c r="F53" s="25">
        <f t="shared" si="1"/>
        <v>200</v>
      </c>
      <c r="G53" s="25" t="s">
        <v>119</v>
      </c>
      <c r="H53" s="25" t="s">
        <v>60</v>
      </c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</row>
    <row r="54" spans="1:23" x14ac:dyDescent="0.2">
      <c r="A54" s="71">
        <v>45909</v>
      </c>
      <c r="B54" s="25" t="s">
        <v>116</v>
      </c>
      <c r="C54" s="25" t="s">
        <v>149</v>
      </c>
      <c r="D54" s="25">
        <v>1.2206999999999999</v>
      </c>
      <c r="E54" s="25">
        <v>81.92</v>
      </c>
      <c r="F54" s="25">
        <f t="shared" si="1"/>
        <v>99.999743999999993</v>
      </c>
      <c r="G54" s="104" t="s">
        <v>151</v>
      </c>
      <c r="H54" s="25" t="s">
        <v>137</v>
      </c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</row>
    <row r="55" spans="1:23" x14ac:dyDescent="0.2">
      <c r="A55" s="71">
        <v>45909</v>
      </c>
      <c r="B55" s="25" t="s">
        <v>116</v>
      </c>
      <c r="C55" s="25" t="s">
        <v>150</v>
      </c>
      <c r="D55" s="25">
        <v>50.74</v>
      </c>
      <c r="E55" s="25">
        <v>1.97</v>
      </c>
      <c r="F55" s="25">
        <f t="shared" si="1"/>
        <v>99.957800000000006</v>
      </c>
      <c r="G55" s="104" t="s">
        <v>151</v>
      </c>
      <c r="H55" s="25" t="s">
        <v>137</v>
      </c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</row>
    <row r="56" spans="1:23" x14ac:dyDescent="0.2">
      <c r="A56" s="71">
        <v>45913</v>
      </c>
      <c r="B56" s="25" t="s">
        <v>115</v>
      </c>
      <c r="C56" s="25"/>
      <c r="D56" s="25"/>
      <c r="E56" s="25"/>
      <c r="F56" s="25">
        <v>37.700000000000003</v>
      </c>
      <c r="G56" s="104" t="s">
        <v>675</v>
      </c>
      <c r="H56" s="25" t="s">
        <v>60</v>
      </c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</row>
    <row r="57" spans="1:23" x14ac:dyDescent="0.2">
      <c r="A57" s="71">
        <v>45913</v>
      </c>
      <c r="B57" s="25" t="s">
        <v>116</v>
      </c>
      <c r="C57" s="25" t="s">
        <v>41</v>
      </c>
      <c r="D57" s="25">
        <v>0.54</v>
      </c>
      <c r="E57" s="25">
        <v>69.8</v>
      </c>
      <c r="F57" s="25">
        <f t="shared" si="1"/>
        <v>37.692</v>
      </c>
      <c r="G57" s="104" t="s">
        <v>675</v>
      </c>
      <c r="H57" s="25" t="s">
        <v>60</v>
      </c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</row>
    <row r="58" spans="1:23" x14ac:dyDescent="0.2">
      <c r="A58" s="71">
        <v>45918</v>
      </c>
      <c r="B58" s="25" t="s">
        <v>116</v>
      </c>
      <c r="C58" s="25" t="s">
        <v>149</v>
      </c>
      <c r="D58" s="25">
        <v>1.7865</v>
      </c>
      <c r="E58" s="25">
        <v>111.95</v>
      </c>
      <c r="F58" s="25">
        <f t="shared" si="1"/>
        <v>199.99867499999999</v>
      </c>
      <c r="G58" s="104" t="s">
        <v>708</v>
      </c>
      <c r="H58" s="25" t="s">
        <v>137</v>
      </c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</row>
    <row r="59" spans="1:23" x14ac:dyDescent="0.2">
      <c r="A59" s="71">
        <v>45918</v>
      </c>
      <c r="B59" s="25" t="s">
        <v>116</v>
      </c>
      <c r="C59" s="25" t="s">
        <v>35</v>
      </c>
      <c r="D59" s="25">
        <v>248.15</v>
      </c>
      <c r="E59" s="25">
        <v>0.40200000000000002</v>
      </c>
      <c r="F59" s="25">
        <f t="shared" si="1"/>
        <v>99.75630000000001</v>
      </c>
      <c r="G59" s="104" t="s">
        <v>711</v>
      </c>
      <c r="H59" s="25" t="s">
        <v>60</v>
      </c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</row>
    <row r="60" spans="1:23" x14ac:dyDescent="0.2">
      <c r="A60" s="71">
        <v>45919</v>
      </c>
      <c r="B60" s="25" t="s">
        <v>118</v>
      </c>
      <c r="C60" s="20" t="s">
        <v>149</v>
      </c>
      <c r="D60" s="73">
        <v>1.649</v>
      </c>
      <c r="E60" s="20">
        <v>112</v>
      </c>
      <c r="F60" s="20">
        <f t="shared" si="1"/>
        <v>184.68799999999999</v>
      </c>
      <c r="G60" s="27" t="s">
        <v>712</v>
      </c>
      <c r="H60" s="25" t="s">
        <v>137</v>
      </c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</row>
    <row r="61" spans="1:23" ht="25.5" x14ac:dyDescent="0.2">
      <c r="A61" s="71">
        <v>45928</v>
      </c>
      <c r="B61" s="25" t="s">
        <v>116</v>
      </c>
      <c r="C61" s="20" t="s">
        <v>34</v>
      </c>
      <c r="D61" s="73">
        <v>3998</v>
      </c>
      <c r="E61" s="20">
        <v>0.05</v>
      </c>
      <c r="F61" s="20">
        <f t="shared" si="1"/>
        <v>199.9</v>
      </c>
      <c r="G61" s="27" t="s">
        <v>736</v>
      </c>
      <c r="H61" s="25" t="s">
        <v>60</v>
      </c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</row>
    <row r="62" spans="1:23" x14ac:dyDescent="0.2">
      <c r="A62" s="20"/>
      <c r="B62" s="20"/>
      <c r="C62" s="20"/>
      <c r="D62" s="20"/>
      <c r="E62" s="20"/>
      <c r="F62" s="20"/>
      <c r="G62" s="27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</row>
    <row r="63" spans="1:23" x14ac:dyDescent="0.2">
      <c r="A63" s="20"/>
      <c r="B63" s="20"/>
      <c r="C63" s="20"/>
      <c r="D63" s="20"/>
      <c r="E63" s="20"/>
      <c r="F63" s="20"/>
      <c r="G63" s="27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</row>
    <row r="64" spans="1:23" x14ac:dyDescent="0.2">
      <c r="A64" s="20"/>
      <c r="B64" s="20"/>
      <c r="C64" s="20"/>
      <c r="D64" s="20"/>
      <c r="E64" s="20"/>
      <c r="F64" s="20"/>
      <c r="G64" s="27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</row>
    <row r="65" spans="1:23" x14ac:dyDescent="0.2">
      <c r="A65" s="20"/>
      <c r="B65" s="20"/>
      <c r="C65" s="20"/>
      <c r="D65" s="20"/>
      <c r="E65" s="20"/>
      <c r="F65" s="20"/>
      <c r="G65" s="27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</row>
    <row r="66" spans="1:23" x14ac:dyDescent="0.2">
      <c r="A66" s="20"/>
      <c r="B66" s="20"/>
      <c r="C66" s="20"/>
      <c r="D66" s="20"/>
      <c r="E66" s="20"/>
      <c r="F66" s="20"/>
      <c r="G66" s="27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</row>
    <row r="67" spans="1:23" x14ac:dyDescent="0.2">
      <c r="A67" s="20"/>
      <c r="B67" s="20"/>
      <c r="C67" s="20"/>
      <c r="D67" s="20"/>
      <c r="E67" s="20"/>
      <c r="F67" s="20"/>
      <c r="G67" s="27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</row>
    <row r="68" spans="1:23" x14ac:dyDescent="0.2">
      <c r="A68" s="20"/>
      <c r="B68" s="20"/>
      <c r="C68" s="20"/>
      <c r="D68" s="20"/>
      <c r="E68" s="20"/>
      <c r="F68" s="20"/>
      <c r="G68" s="27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</row>
    <row r="69" spans="1:23" x14ac:dyDescent="0.2">
      <c r="A69" s="20"/>
      <c r="B69" s="20"/>
      <c r="C69" s="20"/>
      <c r="D69" s="20"/>
      <c r="E69" s="20"/>
      <c r="F69" s="20"/>
      <c r="G69" s="27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</row>
    <row r="70" spans="1:23" x14ac:dyDescent="0.2">
      <c r="A70" s="20"/>
      <c r="B70" s="20"/>
      <c r="C70" s="20"/>
      <c r="D70" s="20"/>
      <c r="E70" s="20"/>
      <c r="F70" s="20"/>
      <c r="G70" s="27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</row>
    <row r="71" spans="1:23" x14ac:dyDescent="0.2">
      <c r="A71" s="20"/>
      <c r="B71" s="20"/>
      <c r="C71" s="20"/>
      <c r="D71" s="20"/>
      <c r="E71" s="20"/>
      <c r="F71" s="20"/>
      <c r="G71" s="27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</row>
    <row r="72" spans="1:23" x14ac:dyDescent="0.2">
      <c r="A72" s="20"/>
      <c r="B72" s="20"/>
      <c r="C72" s="20"/>
      <c r="D72" s="20"/>
      <c r="E72" s="20"/>
      <c r="F72" s="20"/>
      <c r="G72" s="27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</row>
    <row r="73" spans="1:23" x14ac:dyDescent="0.2">
      <c r="A73" s="20"/>
      <c r="B73" s="20"/>
      <c r="C73" s="20"/>
      <c r="D73" s="20"/>
      <c r="E73" s="20"/>
      <c r="F73" s="20"/>
      <c r="G73" s="27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</row>
    <row r="74" spans="1:23" x14ac:dyDescent="0.2">
      <c r="A74" s="20"/>
      <c r="B74" s="20"/>
      <c r="C74" s="20"/>
      <c r="D74" s="20"/>
      <c r="E74" s="20"/>
      <c r="F74" s="20"/>
      <c r="G74" s="27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</row>
    <row r="75" spans="1:23" x14ac:dyDescent="0.2">
      <c r="A75" s="20"/>
      <c r="B75" s="20"/>
      <c r="C75" s="20"/>
      <c r="D75" s="20"/>
      <c r="E75" s="20"/>
      <c r="F75" s="20"/>
      <c r="G75" s="27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</row>
    <row r="76" spans="1:23" x14ac:dyDescent="0.2">
      <c r="A76" s="20"/>
      <c r="B76" s="20"/>
      <c r="C76" s="20"/>
      <c r="D76" s="20"/>
      <c r="E76" s="20"/>
      <c r="F76" s="20"/>
      <c r="G76" s="27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</row>
    <row r="77" spans="1:23" x14ac:dyDescent="0.2">
      <c r="A77" s="20"/>
      <c r="B77" s="20"/>
      <c r="C77" s="20"/>
      <c r="D77" s="20"/>
      <c r="E77" s="20"/>
      <c r="F77" s="20"/>
      <c r="G77" s="27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</row>
    <row r="78" spans="1:23" x14ac:dyDescent="0.2">
      <c r="A78" s="20"/>
      <c r="B78" s="20"/>
      <c r="C78" s="20"/>
      <c r="D78" s="20"/>
      <c r="E78" s="20"/>
      <c r="F78" s="20"/>
      <c r="G78" s="27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</row>
    <row r="79" spans="1:23" x14ac:dyDescent="0.2">
      <c r="A79" s="20"/>
      <c r="B79" s="20"/>
      <c r="C79" s="20"/>
      <c r="D79" s="20"/>
      <c r="E79" s="20"/>
      <c r="F79" s="20"/>
      <c r="G79" s="27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</row>
    <row r="80" spans="1:23" x14ac:dyDescent="0.2">
      <c r="A80" s="20"/>
      <c r="B80" s="20"/>
      <c r="C80" s="20"/>
      <c r="D80" s="20"/>
      <c r="E80" s="20"/>
      <c r="F80" s="20"/>
      <c r="G80" s="27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</row>
    <row r="81" spans="1:23" x14ac:dyDescent="0.2">
      <c r="A81" s="20"/>
      <c r="B81" s="20"/>
      <c r="C81" s="20"/>
      <c r="D81" s="20"/>
      <c r="E81" s="20"/>
      <c r="F81" s="20"/>
      <c r="G81" s="27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</row>
    <row r="82" spans="1:23" x14ac:dyDescent="0.2">
      <c r="A82" s="20"/>
      <c r="B82" s="20"/>
      <c r="C82" s="20"/>
      <c r="D82" s="20"/>
      <c r="E82" s="20"/>
      <c r="F82" s="20"/>
      <c r="G82" s="27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</row>
    <row r="83" spans="1:23" x14ac:dyDescent="0.2">
      <c r="A83" s="20"/>
      <c r="B83" s="20"/>
      <c r="C83" s="20"/>
      <c r="D83" s="20"/>
      <c r="E83" s="20"/>
      <c r="F83" s="20"/>
      <c r="G83" s="27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</row>
    <row r="84" spans="1:23" x14ac:dyDescent="0.2">
      <c r="A84" s="20"/>
      <c r="B84" s="20"/>
      <c r="C84" s="20"/>
      <c r="D84" s="20"/>
      <c r="E84" s="20"/>
      <c r="F84" s="20"/>
      <c r="G84" s="27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</row>
    <row r="85" spans="1:23" x14ac:dyDescent="0.2">
      <c r="A85" s="20"/>
      <c r="B85" s="20"/>
      <c r="C85" s="20"/>
      <c r="D85" s="20"/>
      <c r="E85" s="20"/>
      <c r="F85" s="20"/>
      <c r="G85" s="27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</row>
    <row r="86" spans="1:23" x14ac:dyDescent="0.2">
      <c r="A86" s="20"/>
      <c r="B86" s="20"/>
      <c r="C86" s="20"/>
      <c r="D86" s="20"/>
      <c r="E86" s="20"/>
      <c r="F86" s="20"/>
      <c r="G86" s="27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</row>
    <row r="87" spans="1:23" x14ac:dyDescent="0.2">
      <c r="A87" s="20"/>
      <c r="B87" s="20"/>
      <c r="C87" s="20"/>
      <c r="D87" s="20"/>
      <c r="E87" s="20"/>
      <c r="F87" s="20"/>
      <c r="G87" s="27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</row>
    <row r="88" spans="1:23" x14ac:dyDescent="0.2">
      <c r="A88" s="20"/>
      <c r="B88" s="20"/>
      <c r="C88" s="20"/>
      <c r="D88" s="20"/>
      <c r="E88" s="20"/>
      <c r="F88" s="20"/>
      <c r="G88" s="27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</row>
    <row r="89" spans="1:23" x14ac:dyDescent="0.2">
      <c r="A89" s="20"/>
      <c r="B89" s="20"/>
      <c r="C89" s="20"/>
      <c r="D89" s="20"/>
      <c r="E89" s="20"/>
      <c r="F89" s="20"/>
      <c r="G89" s="27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</row>
    <row r="90" spans="1:23" x14ac:dyDescent="0.2">
      <c r="A90" s="20"/>
      <c r="B90" s="20"/>
      <c r="C90" s="20"/>
      <c r="D90" s="20"/>
      <c r="E90" s="20"/>
      <c r="F90" s="20"/>
      <c r="G90" s="27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</row>
    <row r="91" spans="1:23" x14ac:dyDescent="0.2">
      <c r="A91" s="20"/>
      <c r="B91" s="20"/>
      <c r="C91" s="20"/>
      <c r="D91" s="20"/>
      <c r="E91" s="20"/>
      <c r="F91" s="20"/>
      <c r="G91" s="27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</row>
    <row r="92" spans="1:23" x14ac:dyDescent="0.2">
      <c r="A92" s="20"/>
      <c r="B92" s="20"/>
      <c r="C92" s="20"/>
      <c r="D92" s="20"/>
      <c r="E92" s="20"/>
      <c r="F92" s="20"/>
      <c r="G92" s="27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</row>
    <row r="93" spans="1:23" x14ac:dyDescent="0.2">
      <c r="A93" s="20"/>
      <c r="B93" s="20"/>
      <c r="C93" s="20"/>
      <c r="D93" s="20"/>
      <c r="E93" s="20"/>
      <c r="F93" s="20"/>
      <c r="G93" s="27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</row>
    <row r="94" spans="1:23" x14ac:dyDescent="0.2">
      <c r="A94" s="20"/>
      <c r="B94" s="20"/>
      <c r="C94" s="20"/>
      <c r="D94" s="20"/>
      <c r="E94" s="20"/>
      <c r="F94" s="20"/>
      <c r="G94" s="27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</row>
    <row r="95" spans="1:23" x14ac:dyDescent="0.2">
      <c r="A95" s="20"/>
      <c r="B95" s="20"/>
      <c r="C95" s="20"/>
      <c r="D95" s="20"/>
      <c r="E95" s="20"/>
      <c r="F95" s="20"/>
      <c r="G95" s="27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</row>
    <row r="96" spans="1:23" x14ac:dyDescent="0.2">
      <c r="A96" s="20"/>
      <c r="B96" s="20"/>
      <c r="C96" s="20"/>
      <c r="D96" s="20"/>
      <c r="E96" s="20"/>
      <c r="F96" s="20"/>
      <c r="G96" s="27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</row>
    <row r="97" spans="1:23" x14ac:dyDescent="0.2">
      <c r="A97" s="20"/>
      <c r="B97" s="20"/>
      <c r="C97" s="20"/>
      <c r="D97" s="20"/>
      <c r="E97" s="20"/>
      <c r="F97" s="20"/>
      <c r="G97" s="27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</row>
    <row r="98" spans="1:23" x14ac:dyDescent="0.2">
      <c r="A98" s="20"/>
      <c r="B98" s="20"/>
      <c r="C98" s="20"/>
      <c r="D98" s="20"/>
      <c r="E98" s="20"/>
      <c r="F98" s="20"/>
      <c r="G98" s="27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</row>
    <row r="99" spans="1:23" x14ac:dyDescent="0.2">
      <c r="A99" s="20"/>
      <c r="B99" s="20"/>
      <c r="C99" s="20"/>
      <c r="D99" s="20"/>
      <c r="E99" s="20"/>
      <c r="F99" s="20"/>
      <c r="G99" s="27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</row>
    <row r="100" spans="1:23" x14ac:dyDescent="0.2">
      <c r="A100" s="20"/>
      <c r="B100" s="20"/>
      <c r="C100" s="20"/>
      <c r="D100" s="20"/>
      <c r="E100" s="20"/>
      <c r="F100" s="20"/>
      <c r="G100" s="27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</row>
    <row r="101" spans="1:23" x14ac:dyDescent="0.2">
      <c r="A101" s="20"/>
      <c r="B101" s="20"/>
      <c r="C101" s="20"/>
      <c r="D101" s="20"/>
      <c r="E101" s="20"/>
      <c r="F101" s="20"/>
      <c r="G101" s="27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</row>
    <row r="102" spans="1:23" x14ac:dyDescent="0.2">
      <c r="A102" s="20"/>
      <c r="B102" s="20"/>
      <c r="C102" s="20"/>
      <c r="D102" s="20"/>
      <c r="E102" s="20"/>
      <c r="F102" s="20"/>
      <c r="G102" s="27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</row>
    <row r="103" spans="1:23" x14ac:dyDescent="0.2">
      <c r="A103" s="20"/>
      <c r="B103" s="20"/>
      <c r="C103" s="20"/>
      <c r="D103" s="20"/>
      <c r="E103" s="20"/>
      <c r="F103" s="20"/>
      <c r="G103" s="27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</row>
    <row r="104" spans="1:23" x14ac:dyDescent="0.2">
      <c r="A104" s="20"/>
      <c r="B104" s="20"/>
      <c r="C104" s="20"/>
      <c r="D104" s="20"/>
      <c r="E104" s="20"/>
      <c r="F104" s="20"/>
      <c r="G104" s="27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</row>
    <row r="105" spans="1:23" x14ac:dyDescent="0.2">
      <c r="A105" s="20"/>
      <c r="B105" s="20"/>
      <c r="C105" s="20"/>
      <c r="D105" s="20"/>
      <c r="E105" s="20"/>
      <c r="F105" s="20"/>
      <c r="G105" s="27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</row>
    <row r="106" spans="1:23" x14ac:dyDescent="0.2">
      <c r="A106" s="20"/>
      <c r="B106" s="20"/>
      <c r="C106" s="20"/>
      <c r="D106" s="20"/>
      <c r="E106" s="20"/>
      <c r="F106" s="20"/>
      <c r="G106" s="27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</row>
    <row r="107" spans="1:23" x14ac:dyDescent="0.2">
      <c r="A107" s="20"/>
      <c r="B107" s="20"/>
      <c r="C107" s="20"/>
      <c r="D107" s="20"/>
      <c r="E107" s="20"/>
      <c r="F107" s="20"/>
      <c r="G107" s="27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</row>
    <row r="108" spans="1:23" x14ac:dyDescent="0.2">
      <c r="A108" s="20"/>
      <c r="B108" s="20"/>
      <c r="C108" s="20"/>
      <c r="D108" s="20"/>
      <c r="E108" s="20"/>
      <c r="F108" s="20"/>
      <c r="G108" s="27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</row>
    <row r="109" spans="1:23" x14ac:dyDescent="0.2">
      <c r="A109" s="20"/>
      <c r="B109" s="20"/>
      <c r="C109" s="20"/>
      <c r="D109" s="20"/>
      <c r="E109" s="20"/>
      <c r="F109" s="20"/>
      <c r="G109" s="27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</row>
    <row r="110" spans="1:23" x14ac:dyDescent="0.2">
      <c r="A110" s="20"/>
      <c r="B110" s="20"/>
      <c r="C110" s="20"/>
      <c r="D110" s="20"/>
      <c r="E110" s="20"/>
      <c r="F110" s="20"/>
      <c r="G110" s="27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</row>
    <row r="111" spans="1:23" x14ac:dyDescent="0.2">
      <c r="A111" s="20"/>
      <c r="B111" s="20"/>
      <c r="C111" s="20"/>
      <c r="D111" s="20"/>
      <c r="E111" s="20"/>
      <c r="F111" s="20"/>
      <c r="G111" s="27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</row>
    <row r="112" spans="1:23" x14ac:dyDescent="0.2">
      <c r="A112" s="20"/>
      <c r="B112" s="20"/>
      <c r="C112" s="20"/>
      <c r="D112" s="20"/>
      <c r="E112" s="20"/>
      <c r="F112" s="20"/>
      <c r="G112" s="27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</row>
    <row r="113" spans="1:23" x14ac:dyDescent="0.2">
      <c r="A113" s="20"/>
      <c r="B113" s="20"/>
      <c r="C113" s="20"/>
      <c r="D113" s="20"/>
      <c r="E113" s="20"/>
      <c r="F113" s="20"/>
      <c r="G113" s="27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</row>
    <row r="114" spans="1:23" x14ac:dyDescent="0.2">
      <c r="A114" s="20"/>
      <c r="B114" s="20"/>
      <c r="C114" s="20"/>
      <c r="D114" s="20"/>
      <c r="E114" s="20"/>
      <c r="F114" s="20"/>
      <c r="G114" s="27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</row>
    <row r="115" spans="1:23" x14ac:dyDescent="0.2">
      <c r="A115" s="20"/>
      <c r="B115" s="20"/>
      <c r="C115" s="20"/>
      <c r="D115" s="20"/>
      <c r="E115" s="20"/>
      <c r="F115" s="20"/>
      <c r="G115" s="27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</row>
    <row r="116" spans="1:23" x14ac:dyDescent="0.2">
      <c r="A116" s="20"/>
      <c r="B116" s="20"/>
      <c r="C116" s="20"/>
      <c r="D116" s="20"/>
      <c r="E116" s="20"/>
      <c r="F116" s="20"/>
      <c r="G116" s="27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</row>
    <row r="117" spans="1:23" x14ac:dyDescent="0.2">
      <c r="A117" s="20"/>
      <c r="B117" s="20"/>
      <c r="C117" s="20"/>
      <c r="D117" s="20"/>
      <c r="E117" s="20"/>
      <c r="F117" s="20"/>
      <c r="G117" s="27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</row>
    <row r="118" spans="1:23" x14ac:dyDescent="0.2">
      <c r="A118" s="20"/>
      <c r="B118" s="20"/>
      <c r="C118" s="20"/>
      <c r="D118" s="20"/>
      <c r="E118" s="20"/>
      <c r="F118" s="20"/>
      <c r="G118" s="27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</row>
    <row r="119" spans="1:23" x14ac:dyDescent="0.2">
      <c r="A119" s="20"/>
      <c r="B119" s="20"/>
      <c r="C119" s="20"/>
      <c r="D119" s="20"/>
      <c r="E119" s="20"/>
      <c r="F119" s="20"/>
      <c r="G119" s="27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</row>
    <row r="120" spans="1:23" x14ac:dyDescent="0.2">
      <c r="A120" s="20"/>
      <c r="B120" s="20"/>
      <c r="C120" s="20"/>
      <c r="D120" s="20"/>
      <c r="E120" s="20"/>
      <c r="F120" s="20"/>
      <c r="G120" s="27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</row>
    <row r="121" spans="1:23" x14ac:dyDescent="0.2">
      <c r="A121" s="20"/>
      <c r="B121" s="20"/>
      <c r="C121" s="20"/>
      <c r="D121" s="20"/>
      <c r="E121" s="20"/>
      <c r="F121" s="20"/>
      <c r="G121" s="27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</row>
    <row r="122" spans="1:23" x14ac:dyDescent="0.2">
      <c r="A122" s="20"/>
      <c r="B122" s="20"/>
      <c r="C122" s="20"/>
      <c r="D122" s="20"/>
      <c r="E122" s="20"/>
      <c r="F122" s="20"/>
      <c r="G122" s="27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</row>
    <row r="123" spans="1:23" x14ac:dyDescent="0.2">
      <c r="A123" s="20"/>
      <c r="B123" s="20"/>
      <c r="C123" s="20"/>
      <c r="D123" s="20"/>
      <c r="E123" s="20"/>
      <c r="F123" s="20"/>
      <c r="G123" s="27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</row>
    <row r="124" spans="1:23" x14ac:dyDescent="0.2">
      <c r="A124" s="20"/>
      <c r="B124" s="20"/>
      <c r="C124" s="20"/>
      <c r="D124" s="20"/>
      <c r="E124" s="20"/>
      <c r="F124" s="20"/>
      <c r="G124" s="27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</row>
    <row r="125" spans="1:23" x14ac:dyDescent="0.2">
      <c r="A125" s="20"/>
      <c r="B125" s="20"/>
      <c r="C125" s="20"/>
      <c r="D125" s="20"/>
      <c r="E125" s="20"/>
      <c r="F125" s="20"/>
      <c r="G125" s="27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</row>
    <row r="126" spans="1:23" x14ac:dyDescent="0.2">
      <c r="A126" s="20"/>
      <c r="B126" s="20"/>
      <c r="C126" s="20"/>
      <c r="D126" s="20"/>
      <c r="E126" s="20"/>
      <c r="F126" s="20"/>
      <c r="G126" s="27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</row>
    <row r="127" spans="1:23" x14ac:dyDescent="0.2">
      <c r="A127" s="20"/>
      <c r="B127" s="20"/>
      <c r="C127" s="20"/>
      <c r="D127" s="20"/>
      <c r="E127" s="20"/>
      <c r="F127" s="20"/>
      <c r="G127" s="27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</row>
    <row r="128" spans="1:23" x14ac:dyDescent="0.2">
      <c r="A128" s="20"/>
      <c r="B128" s="20"/>
      <c r="C128" s="20"/>
      <c r="D128" s="20"/>
      <c r="E128" s="20"/>
      <c r="F128" s="20"/>
      <c r="G128" s="27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</row>
    <row r="129" spans="1:23" x14ac:dyDescent="0.2">
      <c r="A129" s="20"/>
      <c r="B129" s="20"/>
      <c r="C129" s="20"/>
      <c r="D129" s="20"/>
      <c r="E129" s="20"/>
      <c r="F129" s="20"/>
      <c r="G129" s="27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</row>
    <row r="130" spans="1:23" x14ac:dyDescent="0.2">
      <c r="A130" s="20"/>
      <c r="B130" s="20"/>
      <c r="C130" s="20"/>
      <c r="D130" s="20"/>
      <c r="E130" s="20"/>
      <c r="F130" s="20"/>
      <c r="G130" s="27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</row>
    <row r="131" spans="1:23" x14ac:dyDescent="0.2">
      <c r="A131" s="20"/>
      <c r="B131" s="20"/>
      <c r="C131" s="20"/>
      <c r="D131" s="20"/>
      <c r="E131" s="20"/>
      <c r="F131" s="20"/>
      <c r="G131" s="27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</row>
    <row r="132" spans="1:23" x14ac:dyDescent="0.2">
      <c r="A132" s="20"/>
      <c r="B132" s="20"/>
      <c r="C132" s="20"/>
      <c r="D132" s="20"/>
      <c r="E132" s="20"/>
      <c r="F132" s="20"/>
      <c r="G132" s="27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</row>
    <row r="133" spans="1:23" x14ac:dyDescent="0.2">
      <c r="A133" s="20"/>
      <c r="B133" s="20"/>
      <c r="C133" s="20"/>
      <c r="D133" s="20"/>
      <c r="E133" s="20"/>
      <c r="F133" s="20"/>
      <c r="G133" s="27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</row>
    <row r="134" spans="1:23" x14ac:dyDescent="0.2">
      <c r="A134" s="20"/>
      <c r="B134" s="20"/>
      <c r="C134" s="20"/>
      <c r="D134" s="20"/>
      <c r="E134" s="20"/>
      <c r="F134" s="20"/>
      <c r="G134" s="27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</row>
    <row r="135" spans="1:23" x14ac:dyDescent="0.2">
      <c r="A135" s="20"/>
      <c r="B135" s="20"/>
      <c r="C135" s="20"/>
      <c r="D135" s="20"/>
      <c r="E135" s="20"/>
      <c r="F135" s="20"/>
      <c r="G135" s="27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</row>
    <row r="136" spans="1:23" x14ac:dyDescent="0.2">
      <c r="A136" s="20"/>
      <c r="B136" s="20"/>
      <c r="C136" s="20"/>
      <c r="D136" s="20"/>
      <c r="E136" s="20"/>
      <c r="F136" s="20"/>
      <c r="G136" s="27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</row>
    <row r="137" spans="1:23" x14ac:dyDescent="0.2">
      <c r="A137" s="20"/>
      <c r="B137" s="20"/>
      <c r="C137" s="20"/>
      <c r="D137" s="20"/>
      <c r="E137" s="20"/>
      <c r="F137" s="20"/>
      <c r="G137" s="27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</row>
    <row r="138" spans="1:23" x14ac:dyDescent="0.2">
      <c r="A138" s="20"/>
      <c r="B138" s="20"/>
      <c r="C138" s="20"/>
      <c r="D138" s="20"/>
      <c r="E138" s="20"/>
      <c r="F138" s="20"/>
      <c r="G138" s="27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</row>
    <row r="139" spans="1:23" x14ac:dyDescent="0.2">
      <c r="A139" s="20"/>
      <c r="B139" s="20"/>
      <c r="C139" s="20"/>
      <c r="D139" s="20"/>
      <c r="E139" s="20"/>
      <c r="F139" s="20"/>
      <c r="G139" s="27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</row>
    <row r="140" spans="1:23" x14ac:dyDescent="0.2">
      <c r="A140" s="20"/>
      <c r="B140" s="20"/>
      <c r="C140" s="20"/>
      <c r="D140" s="20"/>
      <c r="E140" s="20"/>
      <c r="F140" s="20"/>
      <c r="G140" s="27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</row>
    <row r="141" spans="1:23" x14ac:dyDescent="0.2">
      <c r="A141" s="20"/>
      <c r="B141" s="20"/>
      <c r="C141" s="20"/>
      <c r="D141" s="20"/>
      <c r="E141" s="20"/>
      <c r="F141" s="20"/>
      <c r="G141" s="27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</row>
    <row r="142" spans="1:23" x14ac:dyDescent="0.2">
      <c r="A142" s="20"/>
      <c r="B142" s="20"/>
      <c r="C142" s="20"/>
      <c r="D142" s="20"/>
      <c r="E142" s="20"/>
      <c r="F142" s="20"/>
      <c r="G142" s="27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</row>
    <row r="143" spans="1:23" x14ac:dyDescent="0.2">
      <c r="A143" s="20"/>
      <c r="B143" s="20"/>
      <c r="C143" s="20"/>
      <c r="D143" s="20"/>
      <c r="E143" s="20"/>
      <c r="F143" s="20"/>
      <c r="G143" s="27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</row>
    <row r="144" spans="1:23" x14ac:dyDescent="0.2">
      <c r="A144" s="20"/>
      <c r="B144" s="20"/>
      <c r="C144" s="20"/>
      <c r="D144" s="20"/>
      <c r="E144" s="20"/>
      <c r="F144" s="20"/>
      <c r="G144" s="27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</row>
    <row r="145" spans="1:23" x14ac:dyDescent="0.2">
      <c r="A145" s="20"/>
      <c r="B145" s="20"/>
      <c r="C145" s="20"/>
      <c r="D145" s="20"/>
      <c r="E145" s="20"/>
      <c r="F145" s="20"/>
      <c r="G145" s="27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</row>
    <row r="146" spans="1:23" x14ac:dyDescent="0.2">
      <c r="A146" s="20"/>
      <c r="B146" s="20"/>
      <c r="C146" s="20"/>
      <c r="D146" s="20"/>
      <c r="E146" s="20"/>
      <c r="F146" s="20"/>
      <c r="G146" s="27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</row>
    <row r="147" spans="1:23" x14ac:dyDescent="0.2">
      <c r="A147" s="20"/>
      <c r="B147" s="20"/>
      <c r="C147" s="20"/>
      <c r="D147" s="20"/>
      <c r="E147" s="20"/>
      <c r="F147" s="20"/>
      <c r="G147" s="27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</row>
    <row r="148" spans="1:23" x14ac:dyDescent="0.2">
      <c r="A148" s="20"/>
      <c r="B148" s="20"/>
      <c r="C148" s="20"/>
      <c r="D148" s="20"/>
      <c r="E148" s="20"/>
      <c r="F148" s="20"/>
      <c r="G148" s="27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</row>
    <row r="149" spans="1:23" x14ac:dyDescent="0.2">
      <c r="A149" s="20"/>
      <c r="B149" s="20"/>
      <c r="C149" s="20"/>
      <c r="D149" s="20"/>
      <c r="E149" s="20"/>
      <c r="F149" s="20"/>
      <c r="G149" s="27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</row>
    <row r="150" spans="1:23" x14ac:dyDescent="0.2">
      <c r="A150" s="20"/>
      <c r="B150" s="20"/>
      <c r="C150" s="20"/>
      <c r="D150" s="20"/>
      <c r="E150" s="20"/>
      <c r="F150" s="20"/>
      <c r="G150" s="27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</row>
    <row r="151" spans="1:23" x14ac:dyDescent="0.2">
      <c r="A151" s="20"/>
      <c r="B151" s="20"/>
      <c r="C151" s="20"/>
      <c r="D151" s="20"/>
      <c r="E151" s="20"/>
      <c r="F151" s="20"/>
      <c r="G151" s="27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</row>
    <row r="152" spans="1:23" x14ac:dyDescent="0.2">
      <c r="A152" s="20"/>
      <c r="B152" s="20"/>
      <c r="C152" s="20"/>
      <c r="D152" s="20"/>
      <c r="E152" s="20"/>
      <c r="F152" s="20"/>
      <c r="G152" s="27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</row>
    <row r="153" spans="1:23" x14ac:dyDescent="0.2">
      <c r="A153" s="20"/>
      <c r="B153" s="20"/>
      <c r="C153" s="20"/>
      <c r="D153" s="20"/>
      <c r="E153" s="20"/>
      <c r="F153" s="20"/>
      <c r="G153" s="27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</row>
    <row r="154" spans="1:23" x14ac:dyDescent="0.2">
      <c r="A154" s="20"/>
      <c r="B154" s="20"/>
      <c r="C154" s="20"/>
      <c r="D154" s="20"/>
      <c r="E154" s="20"/>
      <c r="F154" s="20"/>
      <c r="G154" s="27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</row>
    <row r="155" spans="1:23" x14ac:dyDescent="0.2">
      <c r="A155" s="20"/>
      <c r="B155" s="20"/>
      <c r="C155" s="20"/>
      <c r="D155" s="20"/>
      <c r="E155" s="20"/>
      <c r="F155" s="20"/>
      <c r="G155" s="27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</row>
    <row r="156" spans="1:23" x14ac:dyDescent="0.2">
      <c r="A156" s="20"/>
      <c r="B156" s="20"/>
      <c r="C156" s="20"/>
      <c r="D156" s="20"/>
      <c r="E156" s="20"/>
      <c r="F156" s="20"/>
      <c r="G156" s="27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</row>
    <row r="157" spans="1:23" x14ac:dyDescent="0.2">
      <c r="A157" s="20"/>
      <c r="B157" s="20"/>
      <c r="C157" s="20"/>
      <c r="D157" s="20"/>
      <c r="E157" s="20"/>
      <c r="F157" s="20"/>
      <c r="G157" s="27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</row>
    <row r="158" spans="1:23" x14ac:dyDescent="0.2">
      <c r="A158" s="20"/>
      <c r="B158" s="20"/>
      <c r="C158" s="20"/>
      <c r="D158" s="20"/>
      <c r="E158" s="20"/>
      <c r="F158" s="20"/>
      <c r="G158" s="27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</row>
    <row r="159" spans="1:23" x14ac:dyDescent="0.2">
      <c r="A159" s="20"/>
      <c r="B159" s="20"/>
      <c r="C159" s="20"/>
      <c r="D159" s="20"/>
      <c r="E159" s="20"/>
      <c r="F159" s="20"/>
      <c r="G159" s="27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</row>
    <row r="160" spans="1:23" x14ac:dyDescent="0.2">
      <c r="A160" s="20"/>
      <c r="B160" s="20"/>
      <c r="C160" s="20"/>
      <c r="D160" s="20"/>
      <c r="E160" s="20"/>
      <c r="F160" s="20"/>
      <c r="G160" s="27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</row>
    <row r="161" spans="1:23" x14ac:dyDescent="0.2">
      <c r="A161" s="20"/>
      <c r="B161" s="20"/>
      <c r="C161" s="20"/>
      <c r="D161" s="20"/>
      <c r="E161" s="20"/>
      <c r="F161" s="20"/>
      <c r="G161" s="27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</row>
    <row r="162" spans="1:23" x14ac:dyDescent="0.2">
      <c r="A162" s="20"/>
      <c r="B162" s="20"/>
      <c r="C162" s="20"/>
      <c r="D162" s="20"/>
      <c r="E162" s="20"/>
      <c r="F162" s="20"/>
      <c r="G162" s="27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</row>
    <row r="163" spans="1:23" x14ac:dyDescent="0.2">
      <c r="A163" s="20"/>
      <c r="B163" s="20"/>
      <c r="C163" s="20"/>
      <c r="D163" s="20"/>
      <c r="E163" s="20"/>
      <c r="F163" s="20"/>
      <c r="G163" s="27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</row>
    <row r="164" spans="1:23" x14ac:dyDescent="0.2">
      <c r="A164" s="20"/>
      <c r="B164" s="20"/>
      <c r="C164" s="20"/>
      <c r="D164" s="20"/>
      <c r="E164" s="20"/>
      <c r="F164" s="20"/>
      <c r="G164" s="27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</row>
    <row r="165" spans="1:23" x14ac:dyDescent="0.2">
      <c r="A165" s="20"/>
      <c r="B165" s="20"/>
      <c r="C165" s="20"/>
      <c r="D165" s="20"/>
      <c r="E165" s="20"/>
      <c r="F165" s="20"/>
      <c r="G165" s="27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</row>
    <row r="166" spans="1:23" x14ac:dyDescent="0.2">
      <c r="A166" s="20"/>
      <c r="B166" s="20"/>
      <c r="C166" s="20"/>
      <c r="D166" s="20"/>
      <c r="E166" s="20"/>
      <c r="F166" s="20"/>
      <c r="G166" s="27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</row>
    <row r="167" spans="1:23" x14ac:dyDescent="0.2">
      <c r="A167" s="20"/>
      <c r="B167" s="20"/>
      <c r="C167" s="20"/>
      <c r="D167" s="20"/>
      <c r="E167" s="20"/>
      <c r="F167" s="20"/>
      <c r="G167" s="27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</row>
    <row r="168" spans="1:23" x14ac:dyDescent="0.2">
      <c r="A168" s="20"/>
      <c r="B168" s="20"/>
      <c r="C168" s="20"/>
      <c r="D168" s="20"/>
      <c r="E168" s="20"/>
      <c r="F168" s="20"/>
      <c r="G168" s="27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</row>
    <row r="169" spans="1:23" x14ac:dyDescent="0.2">
      <c r="A169" s="20"/>
      <c r="B169" s="20"/>
      <c r="C169" s="20"/>
      <c r="D169" s="20"/>
      <c r="E169" s="20"/>
      <c r="F169" s="20"/>
      <c r="G169" s="27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</row>
    <row r="170" spans="1:23" x14ac:dyDescent="0.2">
      <c r="A170" s="20"/>
      <c r="B170" s="20"/>
      <c r="C170" s="20"/>
      <c r="D170" s="20"/>
      <c r="E170" s="20"/>
      <c r="F170" s="20"/>
      <c r="G170" s="27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</row>
    <row r="171" spans="1:23" x14ac:dyDescent="0.2">
      <c r="A171" s="20"/>
      <c r="B171" s="20"/>
      <c r="C171" s="20"/>
      <c r="D171" s="20"/>
      <c r="E171" s="20"/>
      <c r="F171" s="20"/>
      <c r="G171" s="27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</row>
    <row r="172" spans="1:23" x14ac:dyDescent="0.2">
      <c r="A172" s="20"/>
      <c r="B172" s="20"/>
      <c r="C172" s="20"/>
      <c r="D172" s="20"/>
      <c r="E172" s="20"/>
      <c r="F172" s="20"/>
      <c r="G172" s="27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</row>
    <row r="173" spans="1:23" x14ac:dyDescent="0.2">
      <c r="A173" s="20"/>
      <c r="B173" s="20"/>
      <c r="C173" s="20"/>
      <c r="D173" s="20"/>
      <c r="E173" s="20"/>
      <c r="F173" s="20"/>
      <c r="G173" s="27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</row>
    <row r="174" spans="1:23" x14ac:dyDescent="0.2">
      <c r="A174" s="20"/>
      <c r="B174" s="20"/>
      <c r="C174" s="20"/>
      <c r="D174" s="20"/>
      <c r="E174" s="20"/>
      <c r="F174" s="20"/>
      <c r="G174" s="27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</row>
    <row r="175" spans="1:23" x14ac:dyDescent="0.2">
      <c r="A175" s="20"/>
      <c r="B175" s="20"/>
      <c r="C175" s="20"/>
      <c r="D175" s="20"/>
      <c r="E175" s="20"/>
      <c r="F175" s="20"/>
      <c r="G175" s="27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</row>
    <row r="176" spans="1:23" x14ac:dyDescent="0.2">
      <c r="A176" s="20"/>
      <c r="B176" s="20"/>
      <c r="C176" s="20"/>
      <c r="D176" s="20"/>
      <c r="E176" s="20"/>
      <c r="F176" s="20"/>
      <c r="G176" s="27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</row>
    <row r="177" spans="1:23" x14ac:dyDescent="0.2">
      <c r="A177" s="20"/>
      <c r="B177" s="20"/>
      <c r="C177" s="20"/>
      <c r="D177" s="20"/>
      <c r="E177" s="20"/>
      <c r="F177" s="20"/>
      <c r="G177" s="27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</row>
    <row r="178" spans="1:23" x14ac:dyDescent="0.2">
      <c r="A178" s="20"/>
      <c r="B178" s="20"/>
      <c r="C178" s="20"/>
      <c r="D178" s="20"/>
      <c r="E178" s="20"/>
      <c r="F178" s="20"/>
      <c r="G178" s="27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</row>
    <row r="179" spans="1:23" x14ac:dyDescent="0.2">
      <c r="A179" s="20"/>
      <c r="B179" s="20"/>
      <c r="C179" s="20"/>
      <c r="D179" s="20"/>
      <c r="E179" s="20"/>
      <c r="F179" s="20"/>
      <c r="G179" s="27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</row>
    <row r="180" spans="1:23" x14ac:dyDescent="0.2">
      <c r="A180" s="20"/>
      <c r="B180" s="20"/>
      <c r="C180" s="20"/>
      <c r="D180" s="20"/>
      <c r="E180" s="20"/>
      <c r="F180" s="20"/>
      <c r="G180" s="27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</row>
    <row r="181" spans="1:23" x14ac:dyDescent="0.2">
      <c r="A181" s="20"/>
      <c r="B181" s="20"/>
      <c r="C181" s="20"/>
      <c r="D181" s="20"/>
      <c r="E181" s="20"/>
      <c r="F181" s="20"/>
      <c r="G181" s="27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</row>
    <row r="182" spans="1:23" x14ac:dyDescent="0.2">
      <c r="A182" s="20"/>
      <c r="B182" s="20"/>
      <c r="C182" s="20"/>
      <c r="D182" s="20"/>
      <c r="E182" s="20"/>
      <c r="F182" s="20"/>
      <c r="G182" s="27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</row>
    <row r="183" spans="1:23" x14ac:dyDescent="0.2">
      <c r="A183" s="20"/>
      <c r="B183" s="20"/>
      <c r="C183" s="20"/>
      <c r="D183" s="20"/>
      <c r="E183" s="20"/>
      <c r="F183" s="20"/>
      <c r="G183" s="27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</row>
    <row r="184" spans="1:23" x14ac:dyDescent="0.2">
      <c r="A184" s="20"/>
      <c r="B184" s="20"/>
      <c r="C184" s="20"/>
      <c r="D184" s="20"/>
      <c r="E184" s="20"/>
      <c r="F184" s="20"/>
      <c r="G184" s="27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</row>
    <row r="185" spans="1:23" x14ac:dyDescent="0.2">
      <c r="A185" s="20"/>
      <c r="B185" s="20"/>
      <c r="C185" s="20"/>
      <c r="D185" s="20"/>
      <c r="E185" s="20"/>
      <c r="F185" s="20"/>
      <c r="G185" s="27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</row>
    <row r="186" spans="1:23" x14ac:dyDescent="0.2">
      <c r="A186" s="20"/>
      <c r="B186" s="20"/>
      <c r="C186" s="20"/>
      <c r="D186" s="20"/>
      <c r="E186" s="20"/>
      <c r="F186" s="20"/>
      <c r="G186" s="27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</row>
    <row r="187" spans="1:23" x14ac:dyDescent="0.2">
      <c r="A187" s="20"/>
      <c r="B187" s="20"/>
      <c r="C187" s="20"/>
      <c r="D187" s="20"/>
      <c r="E187" s="20"/>
      <c r="F187" s="20"/>
      <c r="G187" s="27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</row>
    <row r="188" spans="1:23" x14ac:dyDescent="0.2">
      <c r="A188" s="20"/>
      <c r="B188" s="20"/>
      <c r="C188" s="20"/>
      <c r="D188" s="20"/>
      <c r="E188" s="20"/>
      <c r="F188" s="20"/>
      <c r="G188" s="27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</row>
    <row r="189" spans="1:23" x14ac:dyDescent="0.2">
      <c r="A189" s="20"/>
      <c r="B189" s="20"/>
      <c r="C189" s="20"/>
      <c r="D189" s="20"/>
      <c r="E189" s="20"/>
      <c r="F189" s="20"/>
      <c r="G189" s="27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</row>
    <row r="190" spans="1:23" x14ac:dyDescent="0.2">
      <c r="A190" s="20"/>
      <c r="B190" s="20"/>
      <c r="C190" s="20"/>
      <c r="D190" s="20"/>
      <c r="E190" s="20"/>
      <c r="F190" s="20"/>
      <c r="G190" s="27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</row>
    <row r="191" spans="1:23" x14ac:dyDescent="0.2">
      <c r="A191" s="20"/>
      <c r="B191" s="20"/>
      <c r="C191" s="20"/>
      <c r="D191" s="20"/>
      <c r="E191" s="20"/>
      <c r="F191" s="20"/>
      <c r="G191" s="27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</row>
    <row r="192" spans="1:23" x14ac:dyDescent="0.2">
      <c r="A192" s="20"/>
      <c r="B192" s="20"/>
      <c r="C192" s="20"/>
      <c r="D192" s="20"/>
      <c r="E192" s="20"/>
      <c r="F192" s="20"/>
      <c r="G192" s="27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</row>
    <row r="193" spans="1:23" x14ac:dyDescent="0.2">
      <c r="A193" s="20"/>
      <c r="B193" s="20"/>
      <c r="C193" s="20"/>
      <c r="D193" s="20"/>
      <c r="E193" s="20"/>
      <c r="F193" s="20"/>
      <c r="G193" s="27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</row>
    <row r="194" spans="1:23" x14ac:dyDescent="0.2">
      <c r="A194" s="20"/>
      <c r="B194" s="20"/>
      <c r="C194" s="20"/>
      <c r="D194" s="20"/>
      <c r="E194" s="20"/>
      <c r="F194" s="20"/>
      <c r="G194" s="27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</row>
    <row r="195" spans="1:23" x14ac:dyDescent="0.2">
      <c r="A195" s="20"/>
      <c r="B195" s="20"/>
      <c r="C195" s="20"/>
      <c r="D195" s="20"/>
      <c r="E195" s="20"/>
      <c r="F195" s="20"/>
      <c r="G195" s="27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</row>
    <row r="196" spans="1:23" x14ac:dyDescent="0.2">
      <c r="A196" s="20"/>
      <c r="B196" s="20"/>
      <c r="C196" s="20"/>
      <c r="D196" s="20"/>
      <c r="E196" s="20"/>
      <c r="F196" s="20"/>
      <c r="G196" s="27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</row>
    <row r="197" spans="1:23" x14ac:dyDescent="0.2">
      <c r="A197" s="20"/>
      <c r="B197" s="20"/>
      <c r="C197" s="20"/>
      <c r="D197" s="20"/>
      <c r="E197" s="20"/>
      <c r="F197" s="20"/>
      <c r="G197" s="27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</row>
    <row r="198" spans="1:23" x14ac:dyDescent="0.2">
      <c r="A198" s="20"/>
      <c r="B198" s="20"/>
      <c r="C198" s="20"/>
      <c r="D198" s="20"/>
      <c r="E198" s="20"/>
      <c r="F198" s="20"/>
      <c r="G198" s="27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</row>
    <row r="199" spans="1:23" x14ac:dyDescent="0.2">
      <c r="A199" s="20"/>
      <c r="B199" s="20"/>
      <c r="C199" s="20"/>
      <c r="D199" s="20"/>
      <c r="E199" s="20"/>
      <c r="F199" s="20"/>
      <c r="G199" s="27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</row>
    <row r="200" spans="1:23" x14ac:dyDescent="0.2">
      <c r="A200" s="20"/>
      <c r="B200" s="20"/>
      <c r="C200" s="20"/>
      <c r="D200" s="20"/>
      <c r="E200" s="20"/>
      <c r="F200" s="20"/>
      <c r="G200" s="27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</row>
    <row r="201" spans="1:23" x14ac:dyDescent="0.2">
      <c r="A201" s="20"/>
      <c r="B201" s="20"/>
      <c r="C201" s="20"/>
      <c r="D201" s="20"/>
      <c r="E201" s="20"/>
      <c r="F201" s="20"/>
      <c r="G201" s="27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</row>
    <row r="202" spans="1:23" x14ac:dyDescent="0.2">
      <c r="A202" s="20"/>
      <c r="B202" s="20"/>
      <c r="C202" s="20"/>
      <c r="D202" s="20"/>
      <c r="E202" s="20"/>
      <c r="F202" s="20"/>
      <c r="G202" s="27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</row>
    <row r="203" spans="1:23" x14ac:dyDescent="0.2">
      <c r="A203" s="20"/>
      <c r="B203" s="20"/>
      <c r="C203" s="20"/>
      <c r="D203" s="20"/>
      <c r="E203" s="20"/>
      <c r="F203" s="20"/>
      <c r="G203" s="27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</row>
    <row r="204" spans="1:23" x14ac:dyDescent="0.2">
      <c r="A204" s="20"/>
      <c r="B204" s="20"/>
      <c r="C204" s="20"/>
      <c r="D204" s="20"/>
      <c r="E204" s="20"/>
      <c r="F204" s="20"/>
      <c r="G204" s="27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</row>
    <row r="205" spans="1:23" x14ac:dyDescent="0.2">
      <c r="A205" s="20"/>
      <c r="B205" s="20"/>
      <c r="C205" s="20"/>
      <c r="D205" s="20"/>
      <c r="E205" s="20"/>
      <c r="F205" s="20"/>
      <c r="G205" s="27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</row>
    <row r="206" spans="1:23" x14ac:dyDescent="0.2">
      <c r="A206" s="20"/>
      <c r="B206" s="20"/>
      <c r="C206" s="20"/>
      <c r="D206" s="20"/>
      <c r="E206" s="20"/>
      <c r="F206" s="20"/>
      <c r="G206" s="27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</row>
    <row r="207" spans="1:23" x14ac:dyDescent="0.2">
      <c r="A207" s="20"/>
      <c r="B207" s="20"/>
      <c r="C207" s="20"/>
      <c r="D207" s="20"/>
      <c r="E207" s="20"/>
      <c r="F207" s="20"/>
      <c r="G207" s="27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</row>
    <row r="208" spans="1:23" x14ac:dyDescent="0.2">
      <c r="A208" s="20"/>
      <c r="B208" s="20"/>
      <c r="C208" s="20"/>
      <c r="D208" s="20"/>
      <c r="E208" s="20"/>
      <c r="F208" s="20"/>
      <c r="G208" s="27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</row>
    <row r="209" spans="1:23" x14ac:dyDescent="0.2">
      <c r="A209" s="20"/>
      <c r="B209" s="20"/>
      <c r="C209" s="20"/>
      <c r="D209" s="20"/>
      <c r="E209" s="20"/>
      <c r="F209" s="20"/>
      <c r="G209" s="27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</row>
    <row r="210" spans="1:23" x14ac:dyDescent="0.2">
      <c r="A210" s="20"/>
      <c r="B210" s="20"/>
      <c r="C210" s="20"/>
      <c r="D210" s="20"/>
      <c r="E210" s="20"/>
      <c r="F210" s="20"/>
      <c r="G210" s="27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</row>
    <row r="211" spans="1:23" x14ac:dyDescent="0.2">
      <c r="A211" s="20"/>
      <c r="B211" s="20"/>
      <c r="C211" s="20"/>
      <c r="D211" s="20"/>
      <c r="E211" s="20"/>
      <c r="F211" s="20"/>
      <c r="G211" s="27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</row>
    <row r="212" spans="1:23" x14ac:dyDescent="0.2">
      <c r="A212" s="20"/>
      <c r="B212" s="20"/>
      <c r="C212" s="20"/>
      <c r="D212" s="20"/>
      <c r="E212" s="20"/>
      <c r="F212" s="20"/>
      <c r="G212" s="27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</row>
    <row r="213" spans="1:23" x14ac:dyDescent="0.2">
      <c r="A213" s="20"/>
      <c r="B213" s="20"/>
      <c r="C213" s="20"/>
      <c r="D213" s="20"/>
      <c r="E213" s="20"/>
      <c r="F213" s="20"/>
      <c r="G213" s="27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</row>
  </sheetData>
  <autoFilter ref="A2:W53" xr:uid="{00000000-0009-0000-0000-000002000000}"/>
  <dataValidations count="1">
    <dataValidation type="list" allowBlank="1" showInputMessage="1" showErrorMessage="1" sqref="B3:B55 B60" xr:uid="{60DA996E-49CF-4C06-AAFD-10410A02C875}">
      <formula1>"Buy,Sell,Deposit,Withdraw"</formula1>
    </dataValidation>
  </dataValidations>
  <pageMargins left="0.7" right="0.7" top="0.75" bottom="0.75" header="0" footer="0"/>
  <pageSetup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10A04-4147-4650-974E-22C68047B08E}">
  <sheetPr codeName="Sheet9"/>
  <dimension ref="A1:F47"/>
  <sheetViews>
    <sheetView workbookViewId="0">
      <selection activeCell="J9" sqref="J9"/>
    </sheetView>
  </sheetViews>
  <sheetFormatPr defaultRowHeight="12.75" x14ac:dyDescent="0.2"/>
  <sheetData>
    <row r="1" spans="1:6" x14ac:dyDescent="0.2">
      <c r="A1" s="72">
        <v>45889</v>
      </c>
      <c r="B1" s="25" t="s">
        <v>116</v>
      </c>
      <c r="C1" s="20" t="s">
        <v>35</v>
      </c>
      <c r="D1" s="20">
        <v>200</v>
      </c>
      <c r="E1" s="20">
        <v>2</v>
      </c>
      <c r="F1" s="73">
        <f>IF(B1="Buy",(-1)*D1*E1,D1*E1)</f>
        <v>-400</v>
      </c>
    </row>
    <row r="2" spans="1:6" x14ac:dyDescent="0.2">
      <c r="A2" s="72">
        <v>45890</v>
      </c>
      <c r="B2" s="25" t="s">
        <v>118</v>
      </c>
      <c r="C2" s="20" t="s">
        <v>35</v>
      </c>
      <c r="D2" s="20">
        <v>180</v>
      </c>
      <c r="E2" s="20">
        <v>1</v>
      </c>
      <c r="F2" s="73">
        <f>IF(B2="Buy",(-1)*D2*E2,D2*E2)</f>
        <v>180</v>
      </c>
    </row>
    <row r="3" spans="1:6" x14ac:dyDescent="0.2">
      <c r="A3" s="72">
        <v>45899</v>
      </c>
      <c r="B3" s="25" t="s">
        <v>116</v>
      </c>
      <c r="C3" s="20" t="s">
        <v>48</v>
      </c>
      <c r="D3" s="20">
        <v>100000</v>
      </c>
      <c r="E3" s="20">
        <v>1</v>
      </c>
      <c r="F3" s="73">
        <f>IF(B3="Buy",(-1)*D3*E3,D3*E3)</f>
        <v>-100000</v>
      </c>
    </row>
    <row r="4" spans="1:6" x14ac:dyDescent="0.2">
      <c r="A4" s="72">
        <v>45900</v>
      </c>
      <c r="B4" s="25" t="s">
        <v>118</v>
      </c>
      <c r="C4" s="20" t="s">
        <v>48</v>
      </c>
      <c r="D4" s="20">
        <v>120000</v>
      </c>
      <c r="E4" s="20">
        <v>1</v>
      </c>
      <c r="F4" s="20">
        <f>IF(B4="Buy",(-1)*D4*E4,D4*E4)</f>
        <v>120000</v>
      </c>
    </row>
    <row r="9" spans="1:6" x14ac:dyDescent="0.2">
      <c r="A9" s="21" t="s">
        <v>105</v>
      </c>
      <c r="B9" s="21" t="s">
        <v>110</v>
      </c>
      <c r="C9" s="21" t="s">
        <v>111</v>
      </c>
      <c r="D9" s="22" t="s">
        <v>112</v>
      </c>
      <c r="E9" s="22" t="s">
        <v>120</v>
      </c>
      <c r="F9" s="22" t="s">
        <v>113</v>
      </c>
    </row>
    <row r="10" spans="1:6" x14ac:dyDescent="0.2">
      <c r="A10" s="71">
        <v>44873</v>
      </c>
      <c r="B10" s="25" t="s">
        <v>115</v>
      </c>
      <c r="C10" s="25"/>
      <c r="D10" s="25"/>
      <c r="E10" s="25"/>
      <c r="F10" s="25">
        <v>118</v>
      </c>
    </row>
    <row r="11" spans="1:6" x14ac:dyDescent="0.2">
      <c r="A11" s="71">
        <v>44874</v>
      </c>
      <c r="B11" s="25" t="s">
        <v>116</v>
      </c>
      <c r="C11" s="25" t="s">
        <v>34</v>
      </c>
      <c r="D11" s="25">
        <v>1314</v>
      </c>
      <c r="E11" s="25">
        <v>0.02</v>
      </c>
      <c r="F11" s="25">
        <f>IF(B11="Buy",(-1)*D11*E11,D11*E11)</f>
        <v>-26.28</v>
      </c>
    </row>
    <row r="12" spans="1:6" x14ac:dyDescent="0.2">
      <c r="A12" s="71">
        <v>44900</v>
      </c>
      <c r="B12" s="25" t="s">
        <v>117</v>
      </c>
      <c r="C12" s="25"/>
      <c r="D12" s="25"/>
      <c r="E12" s="25"/>
      <c r="F12" s="25">
        <v>45</v>
      </c>
    </row>
    <row r="13" spans="1:6" x14ac:dyDescent="0.2">
      <c r="A13" s="71">
        <v>45099</v>
      </c>
      <c r="B13" s="25" t="s">
        <v>115</v>
      </c>
      <c r="C13" s="25"/>
      <c r="D13" s="25"/>
      <c r="E13" s="25"/>
      <c r="F13" s="25">
        <v>100</v>
      </c>
    </row>
    <row r="14" spans="1:6" x14ac:dyDescent="0.2">
      <c r="A14" s="71">
        <v>45362</v>
      </c>
      <c r="B14" s="25" t="s">
        <v>118</v>
      </c>
      <c r="C14" s="25" t="s">
        <v>34</v>
      </c>
      <c r="D14" s="25">
        <v>4020</v>
      </c>
      <c r="E14" s="25">
        <v>0.01</v>
      </c>
      <c r="F14" s="25">
        <f>IF(B14="Buy",(-1)*D14*E14,D14*E14)</f>
        <v>40.200000000000003</v>
      </c>
    </row>
    <row r="15" spans="1:6" x14ac:dyDescent="0.2">
      <c r="A15" s="71">
        <v>45383</v>
      </c>
      <c r="B15" s="25" t="s">
        <v>115</v>
      </c>
      <c r="C15" s="25"/>
      <c r="D15" s="25"/>
      <c r="E15" s="25"/>
      <c r="F15" s="25">
        <v>200</v>
      </c>
    </row>
    <row r="16" spans="1:6" x14ac:dyDescent="0.2">
      <c r="A16" s="71">
        <v>45395</v>
      </c>
      <c r="B16" s="25" t="s">
        <v>115</v>
      </c>
      <c r="C16" s="25"/>
      <c r="D16" s="25"/>
      <c r="E16" s="25"/>
      <c r="F16" s="25">
        <v>75</v>
      </c>
    </row>
    <row r="17" spans="1:6" x14ac:dyDescent="0.2">
      <c r="A17" s="71">
        <v>45396</v>
      </c>
      <c r="B17" s="25" t="s">
        <v>116</v>
      </c>
      <c r="C17" s="25" t="s">
        <v>48</v>
      </c>
      <c r="D17" s="25">
        <v>64306</v>
      </c>
      <c r="E17" s="25">
        <v>3.1E-4</v>
      </c>
      <c r="F17" s="25">
        <f>IF(B17="Buy",(-1)*D17*E17,D17*E17)</f>
        <v>-19.93486</v>
      </c>
    </row>
    <row r="18" spans="1:6" x14ac:dyDescent="0.2">
      <c r="A18" s="71">
        <v>45399</v>
      </c>
      <c r="B18" s="25" t="s">
        <v>115</v>
      </c>
      <c r="C18" s="25"/>
      <c r="D18" s="25"/>
      <c r="E18" s="25"/>
      <c r="F18" s="25">
        <v>189</v>
      </c>
    </row>
    <row r="19" spans="1:6" x14ac:dyDescent="0.2">
      <c r="A19" s="71">
        <v>45399</v>
      </c>
      <c r="B19" s="25" t="s">
        <v>116</v>
      </c>
      <c r="C19" s="25" t="s">
        <v>48</v>
      </c>
      <c r="D19" s="25">
        <v>60000</v>
      </c>
      <c r="E19" s="25">
        <v>1.57E-3</v>
      </c>
      <c r="F19" s="25">
        <f>IF(B19="Buy",(-1)*D19*E19,D19*E19)</f>
        <v>-94.2</v>
      </c>
    </row>
    <row r="20" spans="1:6" x14ac:dyDescent="0.2">
      <c r="A20" s="71">
        <v>45399</v>
      </c>
      <c r="B20" s="25" t="s">
        <v>116</v>
      </c>
      <c r="C20" s="25" t="s">
        <v>34</v>
      </c>
      <c r="D20" s="25">
        <v>2969</v>
      </c>
      <c r="E20" s="25">
        <v>3.1800000000000002E-2</v>
      </c>
      <c r="F20" s="25">
        <f>IF(B20="Buy",(-1)*D20*E20,D20*E20)</f>
        <v>-94.414200000000008</v>
      </c>
    </row>
    <row r="21" spans="1:6" x14ac:dyDescent="0.2">
      <c r="A21" s="71">
        <v>45457</v>
      </c>
      <c r="B21" s="25" t="s">
        <v>115</v>
      </c>
      <c r="C21" s="25"/>
      <c r="D21" s="25"/>
      <c r="E21" s="25"/>
      <c r="F21" s="25">
        <v>581</v>
      </c>
    </row>
    <row r="22" spans="1:6" x14ac:dyDescent="0.2">
      <c r="A22" s="71">
        <v>45461</v>
      </c>
      <c r="B22" s="25" t="s">
        <v>116</v>
      </c>
      <c r="C22" s="25" t="s">
        <v>48</v>
      </c>
      <c r="D22" s="25">
        <v>65000</v>
      </c>
      <c r="E22" s="25">
        <v>6.1500000000000001E-3</v>
      </c>
      <c r="F22" s="25">
        <f>IF(B22="Buy",(-1)*D22*E22,D22*E22)</f>
        <v>-399.75</v>
      </c>
    </row>
    <row r="23" spans="1:6" x14ac:dyDescent="0.2">
      <c r="A23" s="71">
        <v>45477</v>
      </c>
      <c r="B23" s="25" t="s">
        <v>116</v>
      </c>
      <c r="C23" s="25" t="s">
        <v>34</v>
      </c>
      <c r="D23" s="25">
        <v>3200</v>
      </c>
      <c r="E23" s="25">
        <v>5.62E-2</v>
      </c>
      <c r="F23" s="25">
        <f>IF(B23="Buy",(-1)*D23*E23,D23*E23)</f>
        <v>-179.84</v>
      </c>
    </row>
    <row r="24" spans="1:6" x14ac:dyDescent="0.2">
      <c r="A24" s="71">
        <v>45467</v>
      </c>
      <c r="B24" s="25" t="s">
        <v>115</v>
      </c>
      <c r="C24" s="25"/>
      <c r="D24" s="25"/>
      <c r="E24" s="25"/>
      <c r="F24" s="25">
        <v>577</v>
      </c>
    </row>
    <row r="25" spans="1:6" x14ac:dyDescent="0.2">
      <c r="A25" s="71">
        <v>45468</v>
      </c>
      <c r="B25" s="25" t="s">
        <v>116</v>
      </c>
      <c r="C25" s="25" t="s">
        <v>48</v>
      </c>
      <c r="D25" s="25">
        <v>60000</v>
      </c>
      <c r="E25" s="25">
        <v>6.6699999999999997E-3</v>
      </c>
      <c r="F25" s="25">
        <f>IF(B25="Buy",(-1)*D25*E25,D25*E25)</f>
        <v>-400.2</v>
      </c>
    </row>
    <row r="26" spans="1:6" x14ac:dyDescent="0.2">
      <c r="A26" s="71">
        <v>45477</v>
      </c>
      <c r="B26" s="25" t="s">
        <v>116</v>
      </c>
      <c r="C26" s="25" t="s">
        <v>34</v>
      </c>
      <c r="D26" s="25">
        <v>3200</v>
      </c>
      <c r="E26" s="25">
        <v>5.5E-2</v>
      </c>
      <c r="F26" s="25">
        <f>IF(B26="Buy",(-1)*D26*E26,D26*E26)</f>
        <v>-176</v>
      </c>
    </row>
    <row r="27" spans="1:6" x14ac:dyDescent="0.2">
      <c r="A27" s="71">
        <v>45481</v>
      </c>
      <c r="B27" s="25" t="s">
        <v>115</v>
      </c>
      <c r="C27" s="25"/>
      <c r="D27" s="25"/>
      <c r="E27" s="25"/>
      <c r="F27" s="25">
        <v>384</v>
      </c>
    </row>
    <row r="28" spans="1:6" x14ac:dyDescent="0.2">
      <c r="A28" s="71">
        <v>45509</v>
      </c>
      <c r="B28" s="25" t="s">
        <v>116</v>
      </c>
      <c r="C28" s="25" t="s">
        <v>48</v>
      </c>
      <c r="D28" s="25">
        <v>55000</v>
      </c>
      <c r="E28" s="25">
        <v>3.4499999999999999E-3</v>
      </c>
      <c r="F28" s="25">
        <f>IF(B28="Buy",(-1)*D28*E28,D28*E28)</f>
        <v>-189.75</v>
      </c>
    </row>
    <row r="29" spans="1:6" x14ac:dyDescent="0.2">
      <c r="A29" s="71">
        <v>45506</v>
      </c>
      <c r="B29" s="25" t="s">
        <v>116</v>
      </c>
      <c r="C29" s="25" t="s">
        <v>34</v>
      </c>
      <c r="D29" s="25">
        <v>3000</v>
      </c>
      <c r="E29" s="25">
        <v>6.5100000000000005E-2</v>
      </c>
      <c r="F29" s="25">
        <f>IF(B29="Buy",(-1)*D29*E29,D29*E29)</f>
        <v>-195.3</v>
      </c>
    </row>
    <row r="30" spans="1:6" x14ac:dyDescent="0.2">
      <c r="A30" s="71">
        <v>45541</v>
      </c>
      <c r="B30" s="25" t="s">
        <v>115</v>
      </c>
      <c r="C30" s="25"/>
      <c r="D30" s="25"/>
      <c r="E30" s="25"/>
      <c r="F30" s="25">
        <v>792</v>
      </c>
    </row>
    <row r="31" spans="1:6" x14ac:dyDescent="0.2">
      <c r="A31" s="71">
        <v>45541</v>
      </c>
      <c r="B31" s="25" t="s">
        <v>116</v>
      </c>
      <c r="C31" s="25" t="s">
        <v>48</v>
      </c>
      <c r="D31" s="25">
        <v>54000</v>
      </c>
      <c r="E31" s="25">
        <v>5.5500000000000002E-3</v>
      </c>
      <c r="F31" s="25">
        <f t="shared" ref="F31:F37" si="0">IF(B31="Buy",(-1)*D31*E31,D31*E31)</f>
        <v>-299.7</v>
      </c>
    </row>
    <row r="32" spans="1:6" x14ac:dyDescent="0.2">
      <c r="A32" s="71">
        <v>45542</v>
      </c>
      <c r="B32" s="25" t="s">
        <v>116</v>
      </c>
      <c r="C32" s="25" t="s">
        <v>34</v>
      </c>
      <c r="D32" s="25">
        <v>2200</v>
      </c>
      <c r="E32" s="25">
        <v>0.1363</v>
      </c>
      <c r="F32" s="25">
        <f t="shared" si="0"/>
        <v>-299.86</v>
      </c>
    </row>
    <row r="33" spans="1:6" x14ac:dyDescent="0.2">
      <c r="A33" s="71">
        <v>45595</v>
      </c>
      <c r="B33" s="25" t="s">
        <v>118</v>
      </c>
      <c r="C33" s="59" t="s">
        <v>48</v>
      </c>
      <c r="D33" s="59">
        <v>72347</v>
      </c>
      <c r="E33" s="59">
        <v>6.0000000000000001E-3</v>
      </c>
      <c r="F33" s="25">
        <f t="shared" si="0"/>
        <v>434.08199999999999</v>
      </c>
    </row>
    <row r="34" spans="1:6" x14ac:dyDescent="0.2">
      <c r="A34" s="71">
        <v>45601</v>
      </c>
      <c r="B34" s="25" t="s">
        <v>116</v>
      </c>
      <c r="C34" s="59" t="s">
        <v>34</v>
      </c>
      <c r="D34" s="59">
        <v>2478</v>
      </c>
      <c r="E34" s="59">
        <v>8.4000000000000005E-2</v>
      </c>
      <c r="F34" s="25">
        <f t="shared" si="0"/>
        <v>-208.15200000000002</v>
      </c>
    </row>
    <row r="35" spans="1:6" x14ac:dyDescent="0.2">
      <c r="A35" s="71">
        <v>45622</v>
      </c>
      <c r="B35" s="25" t="s">
        <v>118</v>
      </c>
      <c r="C35" s="20" t="s">
        <v>48</v>
      </c>
      <c r="D35" s="20">
        <v>93000</v>
      </c>
      <c r="E35" s="20">
        <v>3.0000000000000001E-3</v>
      </c>
      <c r="F35" s="25">
        <f t="shared" si="0"/>
        <v>279</v>
      </c>
    </row>
    <row r="36" spans="1:6" x14ac:dyDescent="0.2">
      <c r="A36" s="71">
        <v>45622</v>
      </c>
      <c r="B36" s="25" t="s">
        <v>118</v>
      </c>
      <c r="C36" s="20" t="s">
        <v>48</v>
      </c>
      <c r="D36" s="20">
        <v>94000</v>
      </c>
      <c r="E36" s="20">
        <v>6.0000000000000001E-3</v>
      </c>
      <c r="F36" s="25">
        <f t="shared" si="0"/>
        <v>564</v>
      </c>
    </row>
    <row r="37" spans="1:6" x14ac:dyDescent="0.2">
      <c r="A37" s="72">
        <v>45663</v>
      </c>
      <c r="B37" s="25" t="s">
        <v>118</v>
      </c>
      <c r="C37" s="20" t="s">
        <v>48</v>
      </c>
      <c r="D37" s="20">
        <v>100000</v>
      </c>
      <c r="E37" s="20">
        <v>2.7399999999999998E-3</v>
      </c>
      <c r="F37" s="25">
        <f t="shared" si="0"/>
        <v>274</v>
      </c>
    </row>
    <row r="38" spans="1:6" x14ac:dyDescent="0.2">
      <c r="A38" s="72">
        <v>45670</v>
      </c>
      <c r="B38" s="25" t="s">
        <v>115</v>
      </c>
      <c r="C38" s="20"/>
      <c r="D38" s="20"/>
      <c r="E38" s="20"/>
      <c r="F38" s="25">
        <v>115.38</v>
      </c>
    </row>
    <row r="39" spans="1:6" x14ac:dyDescent="0.2">
      <c r="A39" s="72">
        <v>45676</v>
      </c>
      <c r="B39" s="25" t="s">
        <v>118</v>
      </c>
      <c r="C39" s="20" t="s">
        <v>48</v>
      </c>
      <c r="D39" s="20">
        <v>104215</v>
      </c>
      <c r="E39" s="20">
        <v>7.3999999999999999E-4</v>
      </c>
      <c r="F39" s="25">
        <f>IF(B39="Buy",(-1)*D39*E39,D39*E39)</f>
        <v>77.119100000000003</v>
      </c>
    </row>
    <row r="40" spans="1:6" x14ac:dyDescent="0.2">
      <c r="A40" s="72">
        <v>45678</v>
      </c>
      <c r="B40" s="25" t="s">
        <v>115</v>
      </c>
      <c r="C40" s="20"/>
      <c r="D40" s="20"/>
      <c r="E40" s="20"/>
      <c r="F40" s="25">
        <v>384.6</v>
      </c>
    </row>
    <row r="41" spans="1:6" x14ac:dyDescent="0.2">
      <c r="A41" s="72">
        <v>45716</v>
      </c>
      <c r="B41" s="25" t="s">
        <v>116</v>
      </c>
      <c r="C41" s="20" t="s">
        <v>34</v>
      </c>
      <c r="D41" s="20">
        <v>2100</v>
      </c>
      <c r="E41" s="20">
        <v>7.1400000000000005E-2</v>
      </c>
      <c r="F41" s="25">
        <f>IF(B41="Buy",(-1)*D41*E41,D41*E41)</f>
        <v>-149.94</v>
      </c>
    </row>
    <row r="42" spans="1:6" x14ac:dyDescent="0.2">
      <c r="A42" s="72">
        <v>45670</v>
      </c>
      <c r="B42" s="25" t="s">
        <v>116</v>
      </c>
      <c r="C42" s="20" t="s">
        <v>34</v>
      </c>
      <c r="D42" s="20">
        <v>3043</v>
      </c>
      <c r="E42" s="20">
        <v>4.0399999999999998E-2</v>
      </c>
      <c r="F42" s="25">
        <f>IF(B42="Buy",(-1)*D42*E42,D42*E42)</f>
        <v>-122.93719999999999</v>
      </c>
    </row>
    <row r="43" spans="1:6" x14ac:dyDescent="0.2">
      <c r="A43" s="72">
        <v>45672</v>
      </c>
      <c r="B43" s="25" t="s">
        <v>118</v>
      </c>
      <c r="C43" s="20" t="s">
        <v>48</v>
      </c>
      <c r="D43" s="20">
        <v>99000</v>
      </c>
      <c r="E43" s="20">
        <v>3.21419E-3</v>
      </c>
      <c r="F43" s="25">
        <f>IF(B43="Buy",(-1)*D43*E43,D43*E43)</f>
        <v>318.20481000000001</v>
      </c>
    </row>
    <row r="44" spans="1:6" x14ac:dyDescent="0.2">
      <c r="A44" s="72">
        <v>45676</v>
      </c>
      <c r="B44" s="25" t="s">
        <v>118</v>
      </c>
      <c r="C44" s="20" t="s">
        <v>48</v>
      </c>
      <c r="D44" s="20">
        <v>103753</v>
      </c>
      <c r="E44" s="20">
        <v>1.0399999999999999E-4</v>
      </c>
      <c r="F44" s="25">
        <f>IF(B44="Buy",(-1)*D44*E44,D44*E44)</f>
        <v>10.790312</v>
      </c>
    </row>
    <row r="45" spans="1:6" x14ac:dyDescent="0.2">
      <c r="A45" s="72">
        <v>45750</v>
      </c>
      <c r="B45" s="25" t="s">
        <v>118</v>
      </c>
      <c r="C45" s="20" t="s">
        <v>48</v>
      </c>
      <c r="D45" s="20">
        <v>83000</v>
      </c>
      <c r="E45" s="20">
        <v>2E-3</v>
      </c>
      <c r="F45" s="25">
        <f>IF(B45="Buy",(-1)*D45*E45,D45*E45)</f>
        <v>166</v>
      </c>
    </row>
    <row r="46" spans="1:6" x14ac:dyDescent="0.2">
      <c r="A46" s="72">
        <v>45793</v>
      </c>
      <c r="B46" s="25" t="s">
        <v>115</v>
      </c>
      <c r="C46" s="20"/>
      <c r="D46" s="20"/>
      <c r="E46" s="20"/>
      <c r="F46" s="25">
        <v>1104</v>
      </c>
    </row>
    <row r="47" spans="1:6" x14ac:dyDescent="0.2">
      <c r="A47" s="72">
        <v>45887</v>
      </c>
      <c r="B47" s="25" t="s">
        <v>116</v>
      </c>
      <c r="C47" s="20" t="s">
        <v>34</v>
      </c>
      <c r="D47" s="20">
        <v>4300</v>
      </c>
      <c r="E47" s="20">
        <v>4.6511627906976744E-2</v>
      </c>
      <c r="F47" s="25">
        <f>IF(B47="Buy",(-1)*D47*E47,D47*E47)</f>
        <v>-200</v>
      </c>
    </row>
  </sheetData>
  <dataValidations disablePrompts="1" count="1">
    <dataValidation type="list" allowBlank="1" showInputMessage="1" showErrorMessage="1" sqref="B1:B4 B10:B47" xr:uid="{22E75341-75AF-442D-B583-0B70885978E3}">
      <formula1>"Buy,Sell,Deposit,Withdraw"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89D3B-71A2-4426-A9B0-A4D7EC417349}">
  <sheetPr codeName="Sheet7"/>
  <dimension ref="A1:U550"/>
  <sheetViews>
    <sheetView zoomScale="130" zoomScaleNormal="130" workbookViewId="0">
      <pane ySplit="1" topLeftCell="A525" activePane="bottomLeft" state="frozen"/>
      <selection pane="bottomLeft" activeCell="A2" sqref="A2:L549"/>
    </sheetView>
  </sheetViews>
  <sheetFormatPr defaultRowHeight="12.75" x14ac:dyDescent="0.2"/>
  <cols>
    <col min="1" max="1" width="10.28515625" style="69" bestFit="1" customWidth="1"/>
    <col min="2" max="4" width="5.5703125" style="23" bestFit="1" customWidth="1"/>
    <col min="5" max="5" width="7.5703125" style="23" bestFit="1" customWidth="1"/>
    <col min="6" max="6" width="9.42578125" style="23" bestFit="1" customWidth="1"/>
    <col min="7" max="7" width="5.7109375" style="23" bestFit="1" customWidth="1"/>
    <col min="8" max="8" width="5.5703125" style="23" bestFit="1" customWidth="1"/>
    <col min="9" max="9" width="7.85546875" style="23" customWidth="1"/>
    <col min="10" max="10" width="7.42578125" style="23" bestFit="1" customWidth="1"/>
    <col min="11" max="11" width="8.42578125" style="23" bestFit="1" customWidth="1"/>
    <col min="12" max="12" width="154.28515625" style="32" bestFit="1" customWidth="1"/>
    <col min="13" max="13" width="5.5703125" style="74" bestFit="1" customWidth="1"/>
    <col min="14" max="14" width="8.140625" style="70" bestFit="1" customWidth="1"/>
    <col min="15" max="15" width="5.5703125" style="23" bestFit="1" customWidth="1"/>
    <col min="16" max="16" width="4" style="23" bestFit="1" customWidth="1"/>
    <col min="17" max="17" width="6.85546875" style="83" bestFit="1" customWidth="1"/>
    <col min="19" max="21" width="5.5703125" style="23" bestFit="1" customWidth="1"/>
  </cols>
  <sheetData>
    <row r="1" spans="1:21" s="90" customFormat="1" ht="31.5" customHeight="1" x14ac:dyDescent="0.2">
      <c r="A1" s="84" t="s">
        <v>105</v>
      </c>
      <c r="B1" s="85" t="s">
        <v>138</v>
      </c>
      <c r="C1" s="85" t="s">
        <v>111</v>
      </c>
      <c r="D1" s="85" t="s">
        <v>0</v>
      </c>
      <c r="E1" s="85" t="s">
        <v>106</v>
      </c>
      <c r="F1" s="85" t="s">
        <v>107</v>
      </c>
      <c r="G1" s="85" t="s">
        <v>108</v>
      </c>
      <c r="H1" s="82" t="s">
        <v>48</v>
      </c>
      <c r="I1" s="82" t="s">
        <v>142</v>
      </c>
      <c r="J1" s="82" t="s">
        <v>141</v>
      </c>
      <c r="K1" s="82" t="s">
        <v>140</v>
      </c>
      <c r="L1" s="95" t="s">
        <v>145</v>
      </c>
      <c r="M1" s="86"/>
      <c r="N1" s="87"/>
      <c r="O1" s="85"/>
      <c r="P1" s="85"/>
      <c r="Q1" s="88"/>
      <c r="R1" s="89"/>
      <c r="S1" s="85"/>
      <c r="T1" s="85"/>
      <c r="U1" s="85"/>
    </row>
    <row r="2" spans="1:21" x14ac:dyDescent="0.2">
      <c r="A2" s="69">
        <v>45383</v>
      </c>
      <c r="B2" s="23">
        <v>387</v>
      </c>
      <c r="C2" s="23">
        <v>40</v>
      </c>
      <c r="D2" s="23">
        <v>427</v>
      </c>
      <c r="E2" s="23">
        <v>427</v>
      </c>
      <c r="F2" s="23">
        <v>0</v>
      </c>
      <c r="G2" s="23">
        <v>0</v>
      </c>
      <c r="H2" s="23">
        <v>0</v>
      </c>
      <c r="I2" s="23">
        <v>40</v>
      </c>
      <c r="J2" s="23">
        <v>0</v>
      </c>
      <c r="K2" s="23">
        <v>0</v>
      </c>
      <c r="L2" s="32" t="s">
        <v>156</v>
      </c>
    </row>
    <row r="3" spans="1:21" x14ac:dyDescent="0.2">
      <c r="A3" s="69">
        <v>45384</v>
      </c>
      <c r="B3" s="23">
        <v>387</v>
      </c>
      <c r="C3" s="23">
        <v>37</v>
      </c>
      <c r="D3" s="23">
        <v>424</v>
      </c>
      <c r="E3" s="23">
        <v>427</v>
      </c>
      <c r="F3" s="23">
        <v>0</v>
      </c>
      <c r="G3" s="23">
        <v>-3</v>
      </c>
      <c r="H3" s="23">
        <v>0</v>
      </c>
      <c r="I3" s="23">
        <v>37</v>
      </c>
      <c r="J3" s="23">
        <v>0</v>
      </c>
      <c r="K3" s="23">
        <v>0</v>
      </c>
      <c r="L3" s="32" t="s">
        <v>157</v>
      </c>
    </row>
    <row r="4" spans="1:21" x14ac:dyDescent="0.2">
      <c r="A4" s="69">
        <v>45385</v>
      </c>
      <c r="B4" s="23">
        <v>387</v>
      </c>
      <c r="C4" s="23">
        <v>38</v>
      </c>
      <c r="D4" s="23">
        <v>425</v>
      </c>
      <c r="E4" s="23">
        <v>427</v>
      </c>
      <c r="F4" s="23">
        <v>0</v>
      </c>
      <c r="G4" s="23">
        <v>-2</v>
      </c>
      <c r="H4" s="23">
        <v>0</v>
      </c>
      <c r="I4" s="23">
        <v>38</v>
      </c>
      <c r="J4" s="23">
        <v>0</v>
      </c>
      <c r="K4" s="23">
        <v>0</v>
      </c>
      <c r="L4" s="32" t="s">
        <v>158</v>
      </c>
    </row>
    <row r="5" spans="1:21" x14ac:dyDescent="0.2">
      <c r="A5" s="69">
        <v>45386</v>
      </c>
      <c r="B5" s="23">
        <v>387</v>
      </c>
      <c r="C5" s="23">
        <v>38</v>
      </c>
      <c r="D5" s="23">
        <v>425</v>
      </c>
      <c r="E5" s="23">
        <v>427</v>
      </c>
      <c r="F5" s="23">
        <v>0</v>
      </c>
      <c r="G5" s="23">
        <v>-2</v>
      </c>
      <c r="H5" s="23">
        <v>0</v>
      </c>
      <c r="I5" s="23">
        <v>38</v>
      </c>
      <c r="J5" s="23">
        <v>0</v>
      </c>
      <c r="K5" s="23">
        <v>0</v>
      </c>
      <c r="L5" s="32" t="s">
        <v>158</v>
      </c>
    </row>
    <row r="6" spans="1:21" x14ac:dyDescent="0.2">
      <c r="A6" s="69">
        <v>45387</v>
      </c>
      <c r="B6" s="23">
        <v>387</v>
      </c>
      <c r="C6" s="23">
        <v>38</v>
      </c>
      <c r="D6" s="23">
        <v>425</v>
      </c>
      <c r="E6" s="23">
        <v>427</v>
      </c>
      <c r="F6" s="23">
        <v>0</v>
      </c>
      <c r="G6" s="23">
        <v>-2</v>
      </c>
      <c r="H6" s="23">
        <v>0</v>
      </c>
      <c r="I6" s="23">
        <v>38</v>
      </c>
      <c r="J6" s="23">
        <v>0</v>
      </c>
      <c r="K6" s="23">
        <v>0</v>
      </c>
      <c r="L6" s="32" t="s">
        <v>158</v>
      </c>
    </row>
    <row r="7" spans="1:21" x14ac:dyDescent="0.2">
      <c r="A7" s="69">
        <v>45388</v>
      </c>
      <c r="B7" s="23">
        <v>387</v>
      </c>
      <c r="C7" s="23">
        <v>38</v>
      </c>
      <c r="D7" s="23">
        <v>425</v>
      </c>
      <c r="E7" s="23">
        <v>427</v>
      </c>
      <c r="F7" s="23">
        <v>0</v>
      </c>
      <c r="G7" s="23">
        <v>-2</v>
      </c>
      <c r="H7" s="23">
        <v>0</v>
      </c>
      <c r="I7" s="23">
        <v>38</v>
      </c>
      <c r="J7" s="23">
        <v>0</v>
      </c>
      <c r="K7" s="23">
        <v>0</v>
      </c>
      <c r="L7" s="32" t="s">
        <v>158</v>
      </c>
    </row>
    <row r="8" spans="1:21" x14ac:dyDescent="0.2">
      <c r="A8" s="69">
        <v>45389</v>
      </c>
      <c r="B8" s="23">
        <v>387</v>
      </c>
      <c r="C8" s="23">
        <v>39</v>
      </c>
      <c r="D8" s="23">
        <v>426</v>
      </c>
      <c r="E8" s="23">
        <v>427</v>
      </c>
      <c r="F8" s="23">
        <v>0</v>
      </c>
      <c r="G8" s="23">
        <v>-1</v>
      </c>
      <c r="H8" s="23">
        <v>0</v>
      </c>
      <c r="I8" s="23">
        <v>39</v>
      </c>
      <c r="J8" s="23">
        <v>0</v>
      </c>
      <c r="K8" s="23">
        <v>0</v>
      </c>
      <c r="L8" s="32" t="s">
        <v>159</v>
      </c>
    </row>
    <row r="9" spans="1:21" x14ac:dyDescent="0.2">
      <c r="A9" s="69">
        <v>45390</v>
      </c>
      <c r="B9" s="23">
        <v>387</v>
      </c>
      <c r="C9" s="23">
        <v>42</v>
      </c>
      <c r="D9" s="23">
        <v>429</v>
      </c>
      <c r="E9" s="23">
        <v>427</v>
      </c>
      <c r="F9" s="23">
        <v>0</v>
      </c>
      <c r="G9" s="23">
        <v>2</v>
      </c>
      <c r="H9" s="23">
        <v>0</v>
      </c>
      <c r="I9" s="23">
        <v>42</v>
      </c>
      <c r="J9" s="23">
        <v>0</v>
      </c>
      <c r="K9" s="23">
        <v>0</v>
      </c>
      <c r="L9" s="32" t="s">
        <v>160</v>
      </c>
    </row>
    <row r="10" spans="1:21" x14ac:dyDescent="0.2">
      <c r="A10" s="69">
        <v>45391</v>
      </c>
      <c r="B10" s="23">
        <v>387</v>
      </c>
      <c r="C10" s="23">
        <v>40</v>
      </c>
      <c r="D10" s="23">
        <v>427</v>
      </c>
      <c r="E10" s="23">
        <v>427</v>
      </c>
      <c r="F10" s="23">
        <v>0</v>
      </c>
      <c r="G10" s="23">
        <v>0</v>
      </c>
      <c r="H10" s="23">
        <v>0</v>
      </c>
      <c r="I10" s="23">
        <v>40</v>
      </c>
      <c r="J10" s="23">
        <v>0</v>
      </c>
      <c r="K10" s="23">
        <v>0</v>
      </c>
      <c r="L10" s="32" t="s">
        <v>156</v>
      </c>
    </row>
    <row r="11" spans="1:21" x14ac:dyDescent="0.2">
      <c r="A11" s="69">
        <v>45392</v>
      </c>
      <c r="B11" s="23">
        <v>387</v>
      </c>
      <c r="C11" s="23">
        <v>40</v>
      </c>
      <c r="D11" s="23">
        <v>427</v>
      </c>
      <c r="E11" s="23">
        <v>427</v>
      </c>
      <c r="F11" s="23">
        <v>0</v>
      </c>
      <c r="G11" s="23">
        <v>0</v>
      </c>
      <c r="H11" s="23">
        <v>0</v>
      </c>
      <c r="I11" s="23">
        <v>40</v>
      </c>
      <c r="J11" s="23">
        <v>0</v>
      </c>
      <c r="K11" s="23">
        <v>0</v>
      </c>
      <c r="L11" s="32" t="s">
        <v>156</v>
      </c>
    </row>
    <row r="12" spans="1:21" x14ac:dyDescent="0.2">
      <c r="A12" s="69">
        <v>45393</v>
      </c>
      <c r="B12" s="23">
        <v>387</v>
      </c>
      <c r="C12" s="23">
        <v>40</v>
      </c>
      <c r="D12" s="23">
        <v>427</v>
      </c>
      <c r="E12" s="23">
        <v>427</v>
      </c>
      <c r="F12" s="23">
        <v>0</v>
      </c>
      <c r="G12" s="23">
        <v>0</v>
      </c>
      <c r="H12" s="23">
        <v>0</v>
      </c>
      <c r="I12" s="23">
        <v>40</v>
      </c>
      <c r="J12" s="23">
        <v>0</v>
      </c>
      <c r="K12" s="23">
        <v>0</v>
      </c>
      <c r="L12" s="32" t="s">
        <v>156</v>
      </c>
    </row>
    <row r="13" spans="1:21" x14ac:dyDescent="0.2">
      <c r="A13" s="69">
        <v>45394</v>
      </c>
      <c r="B13" s="23">
        <v>387</v>
      </c>
      <c r="C13" s="23">
        <v>37</v>
      </c>
      <c r="D13" s="23">
        <v>424</v>
      </c>
      <c r="E13" s="23">
        <v>427</v>
      </c>
      <c r="F13" s="23">
        <v>0</v>
      </c>
      <c r="G13" s="23">
        <v>-3</v>
      </c>
      <c r="H13" s="23">
        <v>0</v>
      </c>
      <c r="I13" s="23">
        <v>37</v>
      </c>
      <c r="J13" s="23">
        <v>0</v>
      </c>
      <c r="K13" s="23">
        <v>0</v>
      </c>
      <c r="L13" s="32" t="s">
        <v>157</v>
      </c>
    </row>
    <row r="14" spans="1:21" x14ac:dyDescent="0.2">
      <c r="A14" s="69">
        <v>45395</v>
      </c>
      <c r="B14" s="23">
        <v>462</v>
      </c>
      <c r="C14" s="23">
        <v>34</v>
      </c>
      <c r="D14" s="23">
        <v>496</v>
      </c>
      <c r="E14" s="23">
        <v>502</v>
      </c>
      <c r="F14" s="23">
        <v>0</v>
      </c>
      <c r="G14" s="23">
        <v>-6</v>
      </c>
      <c r="H14" s="23">
        <v>0</v>
      </c>
      <c r="I14" s="23">
        <v>34</v>
      </c>
      <c r="J14" s="23">
        <v>0</v>
      </c>
      <c r="K14" s="23">
        <v>0</v>
      </c>
      <c r="L14" s="32" t="s">
        <v>161</v>
      </c>
    </row>
    <row r="15" spans="1:21" x14ac:dyDescent="0.2">
      <c r="A15" s="69">
        <v>45396</v>
      </c>
      <c r="B15" s="23">
        <v>442</v>
      </c>
      <c r="C15" s="23">
        <v>56</v>
      </c>
      <c r="D15" s="23">
        <v>498</v>
      </c>
      <c r="E15" s="23">
        <v>502</v>
      </c>
      <c r="F15" s="23">
        <v>0</v>
      </c>
      <c r="G15" s="23">
        <v>-4</v>
      </c>
      <c r="H15" s="23">
        <v>20</v>
      </c>
      <c r="I15" s="23">
        <v>36</v>
      </c>
      <c r="J15" s="23">
        <v>0</v>
      </c>
      <c r="K15" s="23">
        <v>0</v>
      </c>
      <c r="L15" s="32" t="s">
        <v>162</v>
      </c>
    </row>
    <row r="16" spans="1:21" x14ac:dyDescent="0.2">
      <c r="A16" s="69">
        <v>45397</v>
      </c>
      <c r="B16" s="23">
        <v>442</v>
      </c>
      <c r="C16" s="23">
        <v>55</v>
      </c>
      <c r="D16" s="23">
        <v>497</v>
      </c>
      <c r="E16" s="23">
        <v>502</v>
      </c>
      <c r="F16" s="23">
        <v>0</v>
      </c>
      <c r="G16" s="23">
        <v>-5</v>
      </c>
      <c r="H16" s="23">
        <v>20</v>
      </c>
      <c r="I16" s="23">
        <v>35</v>
      </c>
      <c r="J16" s="23">
        <v>0</v>
      </c>
      <c r="K16" s="23">
        <v>0</v>
      </c>
      <c r="L16" s="32" t="s">
        <v>163</v>
      </c>
    </row>
    <row r="17" spans="1:12" x14ac:dyDescent="0.2">
      <c r="A17" s="69">
        <v>45398</v>
      </c>
      <c r="B17" s="23">
        <v>442</v>
      </c>
      <c r="C17" s="23">
        <v>55</v>
      </c>
      <c r="D17" s="23">
        <v>497</v>
      </c>
      <c r="E17" s="23">
        <v>502</v>
      </c>
      <c r="F17" s="23">
        <v>0</v>
      </c>
      <c r="G17" s="23">
        <v>-5</v>
      </c>
      <c r="H17" s="23">
        <v>20</v>
      </c>
      <c r="I17" s="23">
        <v>35</v>
      </c>
      <c r="J17" s="23">
        <v>0</v>
      </c>
      <c r="K17" s="23">
        <v>0</v>
      </c>
      <c r="L17" s="32" t="s">
        <v>163</v>
      </c>
    </row>
    <row r="18" spans="1:12" x14ac:dyDescent="0.2">
      <c r="A18" s="69">
        <v>45399</v>
      </c>
      <c r="B18" s="23">
        <v>442</v>
      </c>
      <c r="C18" s="23">
        <v>244</v>
      </c>
      <c r="D18" s="23">
        <v>687</v>
      </c>
      <c r="E18" s="23">
        <v>691</v>
      </c>
      <c r="F18" s="23">
        <v>0</v>
      </c>
      <c r="G18" s="23">
        <v>-4</v>
      </c>
      <c r="H18" s="23">
        <v>115</v>
      </c>
      <c r="I18" s="23">
        <v>129</v>
      </c>
      <c r="J18" s="23">
        <v>0</v>
      </c>
      <c r="K18" s="23">
        <v>0</v>
      </c>
      <c r="L18" s="32" t="s">
        <v>164</v>
      </c>
    </row>
    <row r="19" spans="1:12" x14ac:dyDescent="0.2">
      <c r="A19" s="69">
        <v>45400</v>
      </c>
      <c r="B19" s="23">
        <v>442</v>
      </c>
      <c r="C19" s="23">
        <v>252</v>
      </c>
      <c r="D19" s="23">
        <v>694</v>
      </c>
      <c r="E19" s="23">
        <v>691</v>
      </c>
      <c r="F19" s="23">
        <v>0</v>
      </c>
      <c r="G19" s="23">
        <v>3</v>
      </c>
      <c r="H19" s="23">
        <v>119</v>
      </c>
      <c r="I19" s="23">
        <v>132</v>
      </c>
      <c r="J19" s="23">
        <v>0</v>
      </c>
      <c r="K19" s="23">
        <v>0</v>
      </c>
      <c r="L19" s="32" t="s">
        <v>165</v>
      </c>
    </row>
    <row r="20" spans="1:12" x14ac:dyDescent="0.2">
      <c r="A20" s="69">
        <v>45401</v>
      </c>
      <c r="B20" s="23">
        <v>442</v>
      </c>
      <c r="C20" s="23">
        <v>252</v>
      </c>
      <c r="D20" s="23">
        <v>695</v>
      </c>
      <c r="E20" s="23">
        <v>691</v>
      </c>
      <c r="F20" s="23">
        <v>0</v>
      </c>
      <c r="G20" s="23">
        <v>4</v>
      </c>
      <c r="H20" s="23">
        <v>120</v>
      </c>
      <c r="I20" s="23">
        <v>132</v>
      </c>
      <c r="J20" s="23">
        <v>0</v>
      </c>
      <c r="K20" s="23">
        <v>0</v>
      </c>
      <c r="L20" s="32" t="s">
        <v>166</v>
      </c>
    </row>
    <row r="21" spans="1:12" x14ac:dyDescent="0.2">
      <c r="A21" s="69">
        <v>45402</v>
      </c>
      <c r="B21" s="23">
        <v>442</v>
      </c>
      <c r="C21" s="23">
        <v>258</v>
      </c>
      <c r="D21" s="23">
        <v>701</v>
      </c>
      <c r="E21" s="23">
        <v>691</v>
      </c>
      <c r="F21" s="23">
        <v>0</v>
      </c>
      <c r="G21" s="23">
        <v>10</v>
      </c>
      <c r="H21" s="23">
        <v>122</v>
      </c>
      <c r="I21" s="23">
        <v>136</v>
      </c>
      <c r="J21" s="23">
        <v>0</v>
      </c>
      <c r="K21" s="23">
        <v>0</v>
      </c>
      <c r="L21" s="32" t="s">
        <v>167</v>
      </c>
    </row>
    <row r="22" spans="1:12" x14ac:dyDescent="0.2">
      <c r="A22" s="69">
        <v>45403</v>
      </c>
      <c r="B22" s="23">
        <v>442</v>
      </c>
      <c r="C22" s="23">
        <v>258</v>
      </c>
      <c r="D22" s="23">
        <v>701</v>
      </c>
      <c r="E22" s="23">
        <v>691</v>
      </c>
      <c r="F22" s="23">
        <v>0</v>
      </c>
      <c r="G22" s="23">
        <v>10</v>
      </c>
      <c r="H22" s="23">
        <v>122</v>
      </c>
      <c r="I22" s="23">
        <v>136</v>
      </c>
      <c r="J22" s="23">
        <v>0</v>
      </c>
      <c r="K22" s="23">
        <v>0</v>
      </c>
      <c r="L22" s="32" t="s">
        <v>167</v>
      </c>
    </row>
    <row r="23" spans="1:12" x14ac:dyDescent="0.2">
      <c r="A23" s="69">
        <v>45404</v>
      </c>
      <c r="B23" s="23">
        <v>442</v>
      </c>
      <c r="C23" s="23">
        <v>264</v>
      </c>
      <c r="D23" s="23">
        <v>706</v>
      </c>
      <c r="E23" s="23">
        <v>691</v>
      </c>
      <c r="F23" s="23">
        <v>0</v>
      </c>
      <c r="G23" s="23">
        <v>15</v>
      </c>
      <c r="H23" s="23">
        <v>126</v>
      </c>
      <c r="I23" s="23">
        <v>138</v>
      </c>
      <c r="J23" s="23">
        <v>0</v>
      </c>
      <c r="K23" s="23">
        <v>0</v>
      </c>
      <c r="L23" s="32" t="s">
        <v>168</v>
      </c>
    </row>
    <row r="24" spans="1:12" x14ac:dyDescent="0.2">
      <c r="A24" s="69">
        <v>45405</v>
      </c>
      <c r="B24" s="23">
        <v>442</v>
      </c>
      <c r="C24" s="23">
        <v>264</v>
      </c>
      <c r="D24" s="23">
        <v>706</v>
      </c>
      <c r="E24" s="23">
        <v>691</v>
      </c>
      <c r="F24" s="23">
        <v>0</v>
      </c>
      <c r="G24" s="23">
        <v>15</v>
      </c>
      <c r="H24" s="23">
        <v>125</v>
      </c>
      <c r="I24" s="23">
        <v>139</v>
      </c>
      <c r="J24" s="23">
        <v>0</v>
      </c>
      <c r="K24" s="23">
        <v>0</v>
      </c>
      <c r="L24" s="32" t="s">
        <v>169</v>
      </c>
    </row>
    <row r="25" spans="1:12" x14ac:dyDescent="0.2">
      <c r="A25" s="69">
        <v>45406</v>
      </c>
      <c r="B25" s="23">
        <v>442</v>
      </c>
      <c r="C25" s="23">
        <v>257</v>
      </c>
      <c r="D25" s="23">
        <v>699</v>
      </c>
      <c r="E25" s="23">
        <v>691</v>
      </c>
      <c r="F25" s="23">
        <v>0</v>
      </c>
      <c r="G25" s="23">
        <v>8</v>
      </c>
      <c r="H25" s="23">
        <v>121</v>
      </c>
      <c r="I25" s="23">
        <v>136</v>
      </c>
      <c r="J25" s="23">
        <v>0</v>
      </c>
      <c r="K25" s="23">
        <v>0</v>
      </c>
      <c r="L25" s="32" t="s">
        <v>170</v>
      </c>
    </row>
    <row r="26" spans="1:12" x14ac:dyDescent="0.2">
      <c r="A26" s="69">
        <v>45407</v>
      </c>
      <c r="B26" s="23">
        <v>442</v>
      </c>
      <c r="C26" s="23">
        <v>258</v>
      </c>
      <c r="D26" s="23">
        <v>700</v>
      </c>
      <c r="E26" s="23">
        <v>691</v>
      </c>
      <c r="F26" s="23">
        <v>0</v>
      </c>
      <c r="G26" s="23">
        <v>9</v>
      </c>
      <c r="H26" s="23">
        <v>121</v>
      </c>
      <c r="I26" s="23">
        <v>136</v>
      </c>
      <c r="J26" s="23">
        <v>0</v>
      </c>
      <c r="K26" s="23">
        <v>0</v>
      </c>
      <c r="L26" s="32" t="s">
        <v>170</v>
      </c>
    </row>
    <row r="27" spans="1:12" x14ac:dyDescent="0.2">
      <c r="A27" s="69">
        <v>45408</v>
      </c>
      <c r="B27" s="23">
        <v>442</v>
      </c>
      <c r="C27" s="23">
        <v>255</v>
      </c>
      <c r="D27" s="23">
        <v>698</v>
      </c>
      <c r="E27" s="23">
        <v>691</v>
      </c>
      <c r="F27" s="23">
        <v>0</v>
      </c>
      <c r="G27" s="23">
        <v>7</v>
      </c>
      <c r="H27" s="23">
        <v>120</v>
      </c>
      <c r="I27" s="23">
        <v>135</v>
      </c>
      <c r="J27" s="23">
        <v>0</v>
      </c>
      <c r="K27" s="23">
        <v>0</v>
      </c>
      <c r="L27" s="32" t="s">
        <v>171</v>
      </c>
    </row>
    <row r="28" spans="1:12" x14ac:dyDescent="0.2">
      <c r="A28" s="69">
        <v>45409</v>
      </c>
      <c r="B28" s="23">
        <v>442</v>
      </c>
      <c r="C28" s="23">
        <v>260</v>
      </c>
      <c r="D28" s="23">
        <v>702</v>
      </c>
      <c r="E28" s="23">
        <v>691</v>
      </c>
      <c r="F28" s="23">
        <v>0</v>
      </c>
      <c r="G28" s="23">
        <v>11</v>
      </c>
      <c r="H28" s="23">
        <v>119</v>
      </c>
      <c r="I28" s="23">
        <v>141</v>
      </c>
      <c r="J28" s="23">
        <v>0</v>
      </c>
      <c r="K28" s="23">
        <v>0</v>
      </c>
      <c r="L28" s="32" t="s">
        <v>172</v>
      </c>
    </row>
    <row r="29" spans="1:12" x14ac:dyDescent="0.2">
      <c r="A29" s="69">
        <v>45410</v>
      </c>
      <c r="B29" s="23">
        <v>442</v>
      </c>
      <c r="C29" s="23">
        <v>260</v>
      </c>
      <c r="D29" s="23">
        <v>702</v>
      </c>
      <c r="E29" s="23">
        <v>691</v>
      </c>
      <c r="F29" s="23">
        <v>0</v>
      </c>
      <c r="G29" s="23">
        <v>11</v>
      </c>
      <c r="H29" s="23">
        <v>119</v>
      </c>
      <c r="I29" s="23">
        <v>141</v>
      </c>
      <c r="J29" s="23">
        <v>0</v>
      </c>
      <c r="K29" s="23">
        <v>0</v>
      </c>
      <c r="L29" s="32" t="s">
        <v>172</v>
      </c>
    </row>
    <row r="30" spans="1:12" x14ac:dyDescent="0.2">
      <c r="A30" s="69">
        <v>45411</v>
      </c>
      <c r="B30" s="23">
        <v>442</v>
      </c>
      <c r="C30" s="23">
        <v>259</v>
      </c>
      <c r="D30" s="23">
        <v>702</v>
      </c>
      <c r="E30" s="23">
        <v>691</v>
      </c>
      <c r="F30" s="23">
        <v>0</v>
      </c>
      <c r="G30" s="23">
        <v>11</v>
      </c>
      <c r="H30" s="23">
        <v>120</v>
      </c>
      <c r="I30" s="23">
        <v>139</v>
      </c>
      <c r="J30" s="23">
        <v>0</v>
      </c>
      <c r="K30" s="23">
        <v>0</v>
      </c>
      <c r="L30" s="32" t="s">
        <v>173</v>
      </c>
    </row>
    <row r="31" spans="1:12" x14ac:dyDescent="0.2">
      <c r="A31" s="69">
        <v>45412</v>
      </c>
      <c r="B31" s="23">
        <v>442</v>
      </c>
      <c r="C31" s="23">
        <v>244</v>
      </c>
      <c r="D31" s="23">
        <v>687</v>
      </c>
      <c r="E31" s="23">
        <v>691</v>
      </c>
      <c r="F31" s="23">
        <v>0</v>
      </c>
      <c r="G31" s="23">
        <v>-4</v>
      </c>
      <c r="H31" s="23">
        <v>114</v>
      </c>
      <c r="I31" s="23">
        <v>130</v>
      </c>
      <c r="J31" s="23">
        <v>0</v>
      </c>
      <c r="K31" s="23">
        <v>0</v>
      </c>
      <c r="L31" s="32" t="s">
        <v>174</v>
      </c>
    </row>
    <row r="32" spans="1:12" x14ac:dyDescent="0.2">
      <c r="A32" s="69">
        <v>45413</v>
      </c>
      <c r="B32" s="23">
        <v>442</v>
      </c>
      <c r="C32" s="23">
        <v>238</v>
      </c>
      <c r="D32" s="23">
        <v>681</v>
      </c>
      <c r="E32" s="23">
        <v>691</v>
      </c>
      <c r="F32" s="23">
        <v>0</v>
      </c>
      <c r="G32" s="23">
        <v>-10</v>
      </c>
      <c r="H32" s="23">
        <v>110</v>
      </c>
      <c r="I32" s="23">
        <v>128</v>
      </c>
      <c r="J32" s="23">
        <v>0</v>
      </c>
      <c r="K32" s="23">
        <v>0</v>
      </c>
      <c r="L32" s="32" t="s">
        <v>175</v>
      </c>
    </row>
    <row r="33" spans="1:12" x14ac:dyDescent="0.2">
      <c r="A33" s="69">
        <v>45414</v>
      </c>
      <c r="B33" s="23">
        <v>442</v>
      </c>
      <c r="C33" s="23">
        <v>240</v>
      </c>
      <c r="D33" s="23">
        <v>683</v>
      </c>
      <c r="E33" s="23">
        <v>691</v>
      </c>
      <c r="F33" s="23">
        <v>0</v>
      </c>
      <c r="G33" s="23">
        <v>-8</v>
      </c>
      <c r="H33" s="23">
        <v>111</v>
      </c>
      <c r="I33" s="23">
        <v>129</v>
      </c>
      <c r="J33" s="23">
        <v>0</v>
      </c>
      <c r="K33" s="23">
        <v>0</v>
      </c>
      <c r="L33" s="32" t="s">
        <v>176</v>
      </c>
    </row>
    <row r="34" spans="1:12" x14ac:dyDescent="0.2">
      <c r="A34" s="69">
        <v>45415</v>
      </c>
      <c r="B34" s="23">
        <v>442</v>
      </c>
      <c r="C34" s="23">
        <v>252</v>
      </c>
      <c r="D34" s="23">
        <v>695</v>
      </c>
      <c r="E34" s="23">
        <v>691</v>
      </c>
      <c r="F34" s="23">
        <v>0</v>
      </c>
      <c r="G34" s="23">
        <v>4</v>
      </c>
      <c r="H34" s="23">
        <v>118</v>
      </c>
      <c r="I34" s="23">
        <v>134</v>
      </c>
      <c r="J34" s="23">
        <v>0</v>
      </c>
      <c r="K34" s="23">
        <v>0</v>
      </c>
      <c r="L34" s="32" t="s">
        <v>177</v>
      </c>
    </row>
    <row r="35" spans="1:12" x14ac:dyDescent="0.2">
      <c r="A35" s="69">
        <v>45416</v>
      </c>
      <c r="B35" s="23">
        <v>442</v>
      </c>
      <c r="C35" s="23">
        <v>255</v>
      </c>
      <c r="D35" s="23">
        <v>697</v>
      </c>
      <c r="E35" s="23">
        <v>691</v>
      </c>
      <c r="F35" s="23">
        <v>0</v>
      </c>
      <c r="G35" s="23">
        <v>6</v>
      </c>
      <c r="H35" s="23">
        <v>120</v>
      </c>
      <c r="I35" s="23">
        <v>135</v>
      </c>
      <c r="J35" s="23">
        <v>0</v>
      </c>
      <c r="K35" s="23">
        <v>0</v>
      </c>
      <c r="L35" s="32" t="s">
        <v>171</v>
      </c>
    </row>
    <row r="36" spans="1:12" x14ac:dyDescent="0.2">
      <c r="A36" s="69">
        <v>45417</v>
      </c>
      <c r="B36" s="23">
        <v>442</v>
      </c>
      <c r="C36" s="23">
        <v>256</v>
      </c>
      <c r="D36" s="23">
        <v>698</v>
      </c>
      <c r="E36" s="23">
        <v>691</v>
      </c>
      <c r="F36" s="23">
        <v>0</v>
      </c>
      <c r="G36" s="23">
        <v>7</v>
      </c>
      <c r="H36" s="23">
        <v>120</v>
      </c>
      <c r="I36" s="23">
        <v>136</v>
      </c>
      <c r="J36" s="23">
        <v>0</v>
      </c>
      <c r="K36" s="23">
        <v>0</v>
      </c>
      <c r="L36" s="32" t="s">
        <v>178</v>
      </c>
    </row>
    <row r="37" spans="1:12" x14ac:dyDescent="0.2">
      <c r="A37" s="69">
        <v>45418</v>
      </c>
      <c r="B37" s="23">
        <v>442</v>
      </c>
      <c r="C37" s="23">
        <v>251</v>
      </c>
      <c r="D37" s="23">
        <v>694</v>
      </c>
      <c r="E37" s="23">
        <v>691</v>
      </c>
      <c r="F37" s="23">
        <v>0</v>
      </c>
      <c r="G37" s="23">
        <v>3</v>
      </c>
      <c r="H37" s="23">
        <v>119</v>
      </c>
      <c r="I37" s="23">
        <v>132</v>
      </c>
      <c r="J37" s="23">
        <v>0</v>
      </c>
      <c r="K37" s="23">
        <v>0</v>
      </c>
      <c r="L37" s="32" t="s">
        <v>165</v>
      </c>
    </row>
    <row r="38" spans="1:12" x14ac:dyDescent="0.2">
      <c r="A38" s="69">
        <v>45419</v>
      </c>
      <c r="B38" s="23">
        <v>442</v>
      </c>
      <c r="C38" s="23">
        <v>247</v>
      </c>
      <c r="D38" s="23">
        <v>689</v>
      </c>
      <c r="E38" s="23">
        <v>691</v>
      </c>
      <c r="F38" s="23">
        <v>0</v>
      </c>
      <c r="G38" s="23">
        <v>-2</v>
      </c>
      <c r="H38" s="23">
        <v>117</v>
      </c>
      <c r="I38" s="23">
        <v>130</v>
      </c>
      <c r="J38" s="23">
        <v>0</v>
      </c>
      <c r="K38" s="23">
        <v>0</v>
      </c>
      <c r="L38" s="32" t="s">
        <v>179</v>
      </c>
    </row>
    <row r="39" spans="1:12" x14ac:dyDescent="0.2">
      <c r="A39" s="69">
        <v>45420</v>
      </c>
      <c r="B39" s="23">
        <v>442</v>
      </c>
      <c r="C39" s="23">
        <v>244</v>
      </c>
      <c r="D39" s="23">
        <v>686</v>
      </c>
      <c r="E39" s="23">
        <v>691</v>
      </c>
      <c r="F39" s="23">
        <v>0</v>
      </c>
      <c r="G39" s="23">
        <v>-5</v>
      </c>
      <c r="H39" s="23">
        <v>115</v>
      </c>
      <c r="I39" s="23">
        <v>129</v>
      </c>
      <c r="J39" s="23">
        <v>0</v>
      </c>
      <c r="K39" s="23">
        <v>0</v>
      </c>
      <c r="L39" s="32" t="s">
        <v>164</v>
      </c>
    </row>
    <row r="40" spans="1:12" x14ac:dyDescent="0.2">
      <c r="A40" s="69">
        <v>45421</v>
      </c>
      <c r="B40" s="23">
        <v>442</v>
      </c>
      <c r="C40" s="23">
        <v>250</v>
      </c>
      <c r="D40" s="23">
        <v>692</v>
      </c>
      <c r="E40" s="23">
        <v>691</v>
      </c>
      <c r="F40" s="23">
        <v>0</v>
      </c>
      <c r="G40" s="23">
        <v>1</v>
      </c>
      <c r="H40" s="23">
        <v>119</v>
      </c>
      <c r="I40" s="23">
        <v>131</v>
      </c>
      <c r="J40" s="23">
        <v>0</v>
      </c>
      <c r="K40" s="23">
        <v>0</v>
      </c>
      <c r="L40" s="32" t="s">
        <v>180</v>
      </c>
    </row>
    <row r="41" spans="1:12" x14ac:dyDescent="0.2">
      <c r="A41" s="69">
        <v>45422</v>
      </c>
      <c r="B41" s="23">
        <v>442</v>
      </c>
      <c r="C41" s="23">
        <v>240</v>
      </c>
      <c r="D41" s="23">
        <v>683</v>
      </c>
      <c r="E41" s="23">
        <v>691</v>
      </c>
      <c r="F41" s="23">
        <v>0</v>
      </c>
      <c r="G41" s="23">
        <v>-8</v>
      </c>
      <c r="H41" s="23">
        <v>114</v>
      </c>
      <c r="I41" s="23">
        <v>126</v>
      </c>
      <c r="J41" s="23">
        <v>0</v>
      </c>
      <c r="K41" s="23">
        <v>0</v>
      </c>
      <c r="L41" s="32" t="s">
        <v>181</v>
      </c>
    </row>
    <row r="42" spans="1:12" x14ac:dyDescent="0.2">
      <c r="A42" s="69">
        <v>45423</v>
      </c>
      <c r="B42" s="23">
        <v>442</v>
      </c>
      <c r="C42" s="23">
        <v>240</v>
      </c>
      <c r="D42" s="23">
        <v>683</v>
      </c>
      <c r="E42" s="23">
        <v>691</v>
      </c>
      <c r="F42" s="23">
        <v>0</v>
      </c>
      <c r="G42" s="23">
        <v>-8</v>
      </c>
      <c r="H42" s="23">
        <v>114</v>
      </c>
      <c r="I42" s="23">
        <v>126</v>
      </c>
      <c r="J42" s="23">
        <v>0</v>
      </c>
      <c r="K42" s="23">
        <v>0</v>
      </c>
      <c r="L42" s="32" t="s">
        <v>181</v>
      </c>
    </row>
    <row r="43" spans="1:12" x14ac:dyDescent="0.2">
      <c r="A43" s="69">
        <v>45424</v>
      </c>
      <c r="B43" s="23">
        <v>442</v>
      </c>
      <c r="C43" s="23">
        <v>242</v>
      </c>
      <c r="D43" s="23">
        <v>685</v>
      </c>
      <c r="E43" s="23">
        <v>691</v>
      </c>
      <c r="F43" s="23">
        <v>0</v>
      </c>
      <c r="G43" s="23">
        <v>-6</v>
      </c>
      <c r="H43" s="23">
        <v>116</v>
      </c>
      <c r="I43" s="23">
        <v>127</v>
      </c>
      <c r="J43" s="23">
        <v>0</v>
      </c>
      <c r="K43" s="23">
        <v>0</v>
      </c>
      <c r="L43" s="32" t="s">
        <v>182</v>
      </c>
    </row>
    <row r="44" spans="1:12" x14ac:dyDescent="0.2">
      <c r="A44" s="69">
        <v>45425</v>
      </c>
      <c r="B44" s="23">
        <v>442</v>
      </c>
      <c r="C44" s="23">
        <v>246</v>
      </c>
      <c r="D44" s="23">
        <v>688</v>
      </c>
      <c r="E44" s="23">
        <v>691</v>
      </c>
      <c r="F44" s="23">
        <v>0</v>
      </c>
      <c r="G44" s="23">
        <v>-3</v>
      </c>
      <c r="H44" s="23">
        <v>118</v>
      </c>
      <c r="I44" s="23">
        <v>128</v>
      </c>
      <c r="J44" s="23">
        <v>0</v>
      </c>
      <c r="K44" s="23">
        <v>0</v>
      </c>
      <c r="L44" s="32" t="s">
        <v>183</v>
      </c>
    </row>
    <row r="45" spans="1:12" x14ac:dyDescent="0.2">
      <c r="A45" s="69">
        <v>45426</v>
      </c>
      <c r="B45" s="23">
        <v>442</v>
      </c>
      <c r="C45" s="23">
        <v>240</v>
      </c>
      <c r="D45" s="23">
        <v>683</v>
      </c>
      <c r="E45" s="23">
        <v>691</v>
      </c>
      <c r="F45" s="23">
        <v>0</v>
      </c>
      <c r="G45" s="23">
        <v>-8</v>
      </c>
      <c r="H45" s="23">
        <v>116</v>
      </c>
      <c r="I45" s="23">
        <v>125</v>
      </c>
      <c r="J45" s="23">
        <v>0</v>
      </c>
      <c r="K45" s="23">
        <v>0</v>
      </c>
      <c r="L45" s="32" t="s">
        <v>184</v>
      </c>
    </row>
    <row r="46" spans="1:12" x14ac:dyDescent="0.2">
      <c r="A46" s="69">
        <v>45427</v>
      </c>
      <c r="B46" s="23">
        <v>442</v>
      </c>
      <c r="C46" s="23">
        <v>256</v>
      </c>
      <c r="D46" s="23">
        <v>698</v>
      </c>
      <c r="E46" s="23">
        <v>691</v>
      </c>
      <c r="F46" s="23">
        <v>0</v>
      </c>
      <c r="G46" s="23">
        <v>7</v>
      </c>
      <c r="H46" s="23">
        <v>124</v>
      </c>
      <c r="I46" s="23">
        <v>131</v>
      </c>
      <c r="J46" s="23">
        <v>0</v>
      </c>
      <c r="K46" s="23">
        <v>0</v>
      </c>
      <c r="L46" s="32" t="s">
        <v>185</v>
      </c>
    </row>
    <row r="47" spans="1:12" x14ac:dyDescent="0.2">
      <c r="A47" s="69">
        <v>45428</v>
      </c>
      <c r="B47" s="23">
        <v>442</v>
      </c>
      <c r="C47" s="23">
        <v>250</v>
      </c>
      <c r="D47" s="23">
        <v>692</v>
      </c>
      <c r="E47" s="23">
        <v>691</v>
      </c>
      <c r="F47" s="23">
        <v>0</v>
      </c>
      <c r="G47" s="23">
        <v>1</v>
      </c>
      <c r="H47" s="23">
        <v>123</v>
      </c>
      <c r="I47" s="23">
        <v>127</v>
      </c>
      <c r="J47" s="23">
        <v>0</v>
      </c>
      <c r="K47" s="23">
        <v>0</v>
      </c>
      <c r="L47" s="32" t="s">
        <v>186</v>
      </c>
    </row>
    <row r="48" spans="1:12" x14ac:dyDescent="0.2">
      <c r="A48" s="69">
        <v>45429</v>
      </c>
      <c r="B48" s="23">
        <v>442</v>
      </c>
      <c r="C48" s="23">
        <v>260</v>
      </c>
      <c r="D48" s="23">
        <v>702</v>
      </c>
      <c r="E48" s="23">
        <v>691</v>
      </c>
      <c r="F48" s="23">
        <v>0</v>
      </c>
      <c r="G48" s="23">
        <v>11</v>
      </c>
      <c r="H48" s="23">
        <v>126</v>
      </c>
      <c r="I48" s="23">
        <v>134</v>
      </c>
      <c r="J48" s="23">
        <v>0</v>
      </c>
      <c r="K48" s="23">
        <v>0</v>
      </c>
      <c r="L48" s="32" t="s">
        <v>187</v>
      </c>
    </row>
    <row r="49" spans="1:12" x14ac:dyDescent="0.2">
      <c r="A49" s="69">
        <v>45430</v>
      </c>
      <c r="B49" s="23">
        <v>442</v>
      </c>
      <c r="C49" s="23">
        <v>261</v>
      </c>
      <c r="D49" s="23">
        <v>703</v>
      </c>
      <c r="E49" s="23">
        <v>691</v>
      </c>
      <c r="F49" s="23">
        <v>0</v>
      </c>
      <c r="G49" s="23">
        <v>12</v>
      </c>
      <c r="H49" s="23">
        <v>126</v>
      </c>
      <c r="I49" s="23">
        <v>135</v>
      </c>
      <c r="J49" s="23">
        <v>0</v>
      </c>
      <c r="K49" s="23">
        <v>0</v>
      </c>
      <c r="L49" s="32" t="s">
        <v>188</v>
      </c>
    </row>
    <row r="50" spans="1:12" x14ac:dyDescent="0.2">
      <c r="A50" s="69">
        <v>45431</v>
      </c>
      <c r="B50" s="23">
        <v>442</v>
      </c>
      <c r="C50" s="23">
        <v>257</v>
      </c>
      <c r="D50" s="23">
        <v>700</v>
      </c>
      <c r="E50" s="23">
        <v>691</v>
      </c>
      <c r="F50" s="23">
        <v>0</v>
      </c>
      <c r="G50" s="23">
        <v>9</v>
      </c>
      <c r="H50" s="23">
        <v>125</v>
      </c>
      <c r="I50" s="23">
        <v>133</v>
      </c>
      <c r="J50" s="23">
        <v>0</v>
      </c>
      <c r="K50" s="23">
        <v>0</v>
      </c>
      <c r="L50" s="32" t="s">
        <v>189</v>
      </c>
    </row>
    <row r="51" spans="1:12" x14ac:dyDescent="0.2">
      <c r="A51" s="69">
        <v>45432</v>
      </c>
      <c r="B51" s="23">
        <v>442</v>
      </c>
      <c r="C51" s="23">
        <v>293</v>
      </c>
      <c r="D51" s="23">
        <v>735</v>
      </c>
      <c r="E51" s="23">
        <v>691</v>
      </c>
      <c r="F51" s="23">
        <v>0</v>
      </c>
      <c r="G51" s="23">
        <v>44</v>
      </c>
      <c r="H51" s="23">
        <v>134</v>
      </c>
      <c r="I51" s="23">
        <v>158</v>
      </c>
      <c r="J51" s="23">
        <v>0</v>
      </c>
      <c r="K51" s="23">
        <v>0</v>
      </c>
      <c r="L51" s="32" t="s">
        <v>190</v>
      </c>
    </row>
    <row r="52" spans="1:12" x14ac:dyDescent="0.2">
      <c r="A52" s="69">
        <v>45433</v>
      </c>
      <c r="B52" s="23">
        <v>442</v>
      </c>
      <c r="C52" s="23">
        <v>296</v>
      </c>
      <c r="D52" s="23">
        <v>738</v>
      </c>
      <c r="E52" s="23">
        <v>691</v>
      </c>
      <c r="F52" s="23">
        <v>0</v>
      </c>
      <c r="G52" s="23">
        <v>47</v>
      </c>
      <c r="H52" s="23">
        <v>132</v>
      </c>
      <c r="I52" s="23">
        <v>164</v>
      </c>
      <c r="J52" s="23">
        <v>0</v>
      </c>
      <c r="K52" s="23">
        <v>0</v>
      </c>
      <c r="L52" s="32" t="s">
        <v>191</v>
      </c>
    </row>
    <row r="53" spans="1:12" x14ac:dyDescent="0.2">
      <c r="A53" s="69">
        <v>45434</v>
      </c>
      <c r="B53" s="23">
        <v>442</v>
      </c>
      <c r="C53" s="23">
        <v>292</v>
      </c>
      <c r="D53" s="23">
        <v>734</v>
      </c>
      <c r="E53" s="23">
        <v>691</v>
      </c>
      <c r="F53" s="23">
        <v>0</v>
      </c>
      <c r="G53" s="23">
        <v>43</v>
      </c>
      <c r="H53" s="23">
        <v>130</v>
      </c>
      <c r="I53" s="23">
        <v>162</v>
      </c>
      <c r="J53" s="23">
        <v>0</v>
      </c>
      <c r="K53" s="23">
        <v>0</v>
      </c>
      <c r="L53" s="32" t="s">
        <v>192</v>
      </c>
    </row>
    <row r="54" spans="1:12" x14ac:dyDescent="0.2">
      <c r="A54" s="69">
        <v>45435</v>
      </c>
      <c r="B54" s="23">
        <v>442</v>
      </c>
      <c r="C54" s="23">
        <v>291</v>
      </c>
      <c r="D54" s="23">
        <v>734</v>
      </c>
      <c r="E54" s="23">
        <v>691</v>
      </c>
      <c r="F54" s="23">
        <v>0</v>
      </c>
      <c r="G54" s="23">
        <v>43</v>
      </c>
      <c r="H54" s="23">
        <v>128</v>
      </c>
      <c r="I54" s="23">
        <v>164</v>
      </c>
      <c r="J54" s="23">
        <v>0</v>
      </c>
      <c r="K54" s="23">
        <v>0</v>
      </c>
      <c r="L54" s="32" t="s">
        <v>193</v>
      </c>
    </row>
    <row r="55" spans="1:12" x14ac:dyDescent="0.2">
      <c r="A55" s="69">
        <v>45436</v>
      </c>
      <c r="B55" s="23">
        <v>442</v>
      </c>
      <c r="C55" s="23">
        <v>290</v>
      </c>
      <c r="D55" s="23">
        <v>732</v>
      </c>
      <c r="E55" s="23">
        <v>691</v>
      </c>
      <c r="F55" s="23">
        <v>0</v>
      </c>
      <c r="G55" s="23">
        <v>41</v>
      </c>
      <c r="H55" s="23">
        <v>129</v>
      </c>
      <c r="I55" s="23">
        <v>161</v>
      </c>
      <c r="J55" s="23">
        <v>0</v>
      </c>
      <c r="K55" s="23">
        <v>0</v>
      </c>
      <c r="L55" s="32" t="s">
        <v>194</v>
      </c>
    </row>
    <row r="56" spans="1:12" x14ac:dyDescent="0.2">
      <c r="A56" s="69">
        <v>45437</v>
      </c>
      <c r="B56" s="23">
        <v>442</v>
      </c>
      <c r="C56" s="23">
        <v>292</v>
      </c>
      <c r="D56" s="23">
        <v>735</v>
      </c>
      <c r="E56" s="23">
        <v>691</v>
      </c>
      <c r="F56" s="23">
        <v>0</v>
      </c>
      <c r="G56" s="23">
        <v>44</v>
      </c>
      <c r="H56" s="23">
        <v>130</v>
      </c>
      <c r="I56" s="23">
        <v>162</v>
      </c>
      <c r="J56" s="23">
        <v>0</v>
      </c>
      <c r="K56" s="23">
        <v>0</v>
      </c>
      <c r="L56" s="32" t="s">
        <v>192</v>
      </c>
    </row>
    <row r="57" spans="1:12" x14ac:dyDescent="0.2">
      <c r="A57" s="69">
        <v>45438</v>
      </c>
      <c r="B57" s="23">
        <v>442</v>
      </c>
      <c r="C57" s="23">
        <v>294</v>
      </c>
      <c r="D57" s="23">
        <v>737</v>
      </c>
      <c r="E57" s="23">
        <v>691</v>
      </c>
      <c r="F57" s="23">
        <v>0</v>
      </c>
      <c r="G57" s="23">
        <v>46</v>
      </c>
      <c r="H57" s="23">
        <v>129</v>
      </c>
      <c r="I57" s="23">
        <v>165</v>
      </c>
      <c r="J57" s="23">
        <v>0</v>
      </c>
      <c r="K57" s="23">
        <v>0</v>
      </c>
      <c r="L57" s="32" t="s">
        <v>195</v>
      </c>
    </row>
    <row r="58" spans="1:12" x14ac:dyDescent="0.2">
      <c r="A58" s="69">
        <v>45439</v>
      </c>
      <c r="B58" s="23">
        <v>442</v>
      </c>
      <c r="C58" s="23">
        <v>299</v>
      </c>
      <c r="D58" s="23">
        <v>741</v>
      </c>
      <c r="E58" s="23">
        <v>691</v>
      </c>
      <c r="F58" s="23">
        <v>0</v>
      </c>
      <c r="G58" s="23">
        <v>50</v>
      </c>
      <c r="H58" s="23">
        <v>131</v>
      </c>
      <c r="I58" s="23">
        <v>168</v>
      </c>
      <c r="J58" s="23">
        <v>0</v>
      </c>
      <c r="K58" s="23">
        <v>0</v>
      </c>
      <c r="L58" s="32" t="s">
        <v>196</v>
      </c>
    </row>
    <row r="59" spans="1:12" x14ac:dyDescent="0.2">
      <c r="A59" s="69">
        <v>45440</v>
      </c>
      <c r="B59" s="23">
        <v>442</v>
      </c>
      <c r="C59" s="23">
        <v>295</v>
      </c>
      <c r="D59" s="23">
        <v>737</v>
      </c>
      <c r="E59" s="23">
        <v>691</v>
      </c>
      <c r="F59" s="23">
        <v>0</v>
      </c>
      <c r="G59" s="23">
        <v>46</v>
      </c>
      <c r="H59" s="23">
        <v>129</v>
      </c>
      <c r="I59" s="23">
        <v>166</v>
      </c>
      <c r="J59" s="23">
        <v>0</v>
      </c>
      <c r="K59" s="23">
        <v>0</v>
      </c>
      <c r="L59" s="32" t="s">
        <v>197</v>
      </c>
    </row>
    <row r="60" spans="1:12" x14ac:dyDescent="0.2">
      <c r="A60" s="69">
        <v>45441</v>
      </c>
      <c r="B60" s="23">
        <v>442</v>
      </c>
      <c r="C60" s="23">
        <v>290</v>
      </c>
      <c r="D60" s="23">
        <v>732</v>
      </c>
      <c r="E60" s="23">
        <v>691</v>
      </c>
      <c r="F60" s="23">
        <v>0</v>
      </c>
      <c r="G60" s="23">
        <v>41</v>
      </c>
      <c r="H60" s="23">
        <v>127</v>
      </c>
      <c r="I60" s="23">
        <v>163</v>
      </c>
      <c r="J60" s="23">
        <v>0</v>
      </c>
      <c r="K60" s="23">
        <v>0</v>
      </c>
      <c r="L60" s="32" t="s">
        <v>198</v>
      </c>
    </row>
    <row r="61" spans="1:12" x14ac:dyDescent="0.2">
      <c r="A61" s="69">
        <v>45442</v>
      </c>
      <c r="B61" s="23">
        <v>442</v>
      </c>
      <c r="C61" s="23">
        <v>290</v>
      </c>
      <c r="D61" s="23">
        <v>733</v>
      </c>
      <c r="E61" s="23">
        <v>691</v>
      </c>
      <c r="F61" s="23">
        <v>0</v>
      </c>
      <c r="G61" s="23">
        <v>42</v>
      </c>
      <c r="H61" s="23">
        <v>129</v>
      </c>
      <c r="I61" s="23">
        <v>162</v>
      </c>
      <c r="J61" s="23">
        <v>0</v>
      </c>
      <c r="K61" s="23">
        <v>0</v>
      </c>
      <c r="L61" s="32" t="s">
        <v>199</v>
      </c>
    </row>
    <row r="62" spans="1:12" x14ac:dyDescent="0.2">
      <c r="A62" s="69">
        <v>45443</v>
      </c>
      <c r="B62" s="23">
        <v>442</v>
      </c>
      <c r="C62" s="23">
        <v>290</v>
      </c>
      <c r="D62" s="23">
        <v>732</v>
      </c>
      <c r="E62" s="23">
        <v>691</v>
      </c>
      <c r="F62" s="23">
        <v>0</v>
      </c>
      <c r="G62" s="23">
        <v>41</v>
      </c>
      <c r="H62" s="23">
        <v>127</v>
      </c>
      <c r="I62" s="23">
        <v>163</v>
      </c>
      <c r="J62" s="23">
        <v>0</v>
      </c>
      <c r="K62" s="23">
        <v>0</v>
      </c>
      <c r="L62" s="32" t="s">
        <v>198</v>
      </c>
    </row>
    <row r="63" spans="1:12" x14ac:dyDescent="0.2">
      <c r="A63" s="69">
        <v>45444</v>
      </c>
      <c r="B63" s="23">
        <v>442</v>
      </c>
      <c r="C63" s="23">
        <v>292</v>
      </c>
      <c r="D63" s="23">
        <v>735</v>
      </c>
      <c r="E63" s="23">
        <v>691</v>
      </c>
      <c r="F63" s="23">
        <v>0</v>
      </c>
      <c r="G63" s="23">
        <v>44</v>
      </c>
      <c r="H63" s="23">
        <v>127</v>
      </c>
      <c r="I63" s="23">
        <v>165</v>
      </c>
      <c r="J63" s="23">
        <v>0</v>
      </c>
      <c r="K63" s="23">
        <v>0</v>
      </c>
      <c r="L63" s="32" t="s">
        <v>200</v>
      </c>
    </row>
    <row r="64" spans="1:12" x14ac:dyDescent="0.2">
      <c r="A64" s="69">
        <v>45445</v>
      </c>
      <c r="B64" s="23">
        <v>442</v>
      </c>
      <c r="C64" s="23">
        <v>291</v>
      </c>
      <c r="D64" s="23">
        <v>733</v>
      </c>
      <c r="E64" s="23">
        <v>691</v>
      </c>
      <c r="F64" s="23">
        <v>0</v>
      </c>
      <c r="G64" s="23">
        <v>42</v>
      </c>
      <c r="H64" s="23">
        <v>127</v>
      </c>
      <c r="I64" s="23">
        <v>163</v>
      </c>
      <c r="J64" s="23">
        <v>0</v>
      </c>
      <c r="K64" s="23">
        <v>0</v>
      </c>
      <c r="L64" s="32" t="s">
        <v>198</v>
      </c>
    </row>
    <row r="65" spans="1:12" x14ac:dyDescent="0.2">
      <c r="A65" s="69">
        <v>45446</v>
      </c>
      <c r="B65" s="23">
        <v>442</v>
      </c>
      <c r="C65" s="23">
        <v>292</v>
      </c>
      <c r="D65" s="23">
        <v>735</v>
      </c>
      <c r="E65" s="23">
        <v>691</v>
      </c>
      <c r="F65" s="23">
        <v>0</v>
      </c>
      <c r="G65" s="23">
        <v>44</v>
      </c>
      <c r="H65" s="23">
        <v>129</v>
      </c>
      <c r="I65" s="23">
        <v>163</v>
      </c>
      <c r="J65" s="23">
        <v>0</v>
      </c>
      <c r="K65" s="23">
        <v>0</v>
      </c>
      <c r="L65" s="32" t="s">
        <v>201</v>
      </c>
    </row>
    <row r="66" spans="1:12" x14ac:dyDescent="0.2">
      <c r="A66" s="69">
        <v>45447</v>
      </c>
      <c r="B66" s="23">
        <v>442</v>
      </c>
      <c r="C66" s="23">
        <v>297</v>
      </c>
      <c r="D66" s="23">
        <v>740</v>
      </c>
      <c r="E66" s="23">
        <v>691</v>
      </c>
      <c r="F66" s="23">
        <v>0</v>
      </c>
      <c r="G66" s="23">
        <v>49</v>
      </c>
      <c r="H66" s="23">
        <v>133</v>
      </c>
      <c r="I66" s="23">
        <v>165</v>
      </c>
      <c r="J66" s="23">
        <v>0</v>
      </c>
      <c r="K66" s="23">
        <v>0</v>
      </c>
      <c r="L66" s="32" t="s">
        <v>202</v>
      </c>
    </row>
    <row r="67" spans="1:12" x14ac:dyDescent="0.2">
      <c r="A67" s="69">
        <v>45448</v>
      </c>
      <c r="B67" s="23">
        <v>442</v>
      </c>
      <c r="C67" s="23">
        <v>301</v>
      </c>
      <c r="D67" s="23">
        <v>743</v>
      </c>
      <c r="E67" s="23">
        <v>691</v>
      </c>
      <c r="F67" s="23">
        <v>0</v>
      </c>
      <c r="G67" s="23">
        <v>52</v>
      </c>
      <c r="H67" s="23">
        <v>134</v>
      </c>
      <c r="I67" s="23">
        <v>167</v>
      </c>
      <c r="J67" s="23">
        <v>0</v>
      </c>
      <c r="K67" s="23">
        <v>0</v>
      </c>
      <c r="L67" s="32" t="s">
        <v>203</v>
      </c>
    </row>
    <row r="68" spans="1:12" x14ac:dyDescent="0.2">
      <c r="A68" s="69">
        <v>45449</v>
      </c>
      <c r="B68" s="23">
        <v>442</v>
      </c>
      <c r="C68" s="23">
        <v>298</v>
      </c>
      <c r="D68" s="23">
        <v>740</v>
      </c>
      <c r="E68" s="23">
        <v>691</v>
      </c>
      <c r="F68" s="23">
        <v>0</v>
      </c>
      <c r="G68" s="23">
        <v>49</v>
      </c>
      <c r="H68" s="23">
        <v>133</v>
      </c>
      <c r="I68" s="23">
        <v>165</v>
      </c>
      <c r="J68" s="23">
        <v>0</v>
      </c>
      <c r="K68" s="23">
        <v>0</v>
      </c>
      <c r="L68" s="32" t="s">
        <v>202</v>
      </c>
    </row>
    <row r="69" spans="1:12" x14ac:dyDescent="0.2">
      <c r="A69" s="69">
        <v>45450</v>
      </c>
      <c r="B69" s="23">
        <v>442</v>
      </c>
      <c r="C69" s="23">
        <v>289</v>
      </c>
      <c r="D69" s="23">
        <v>732</v>
      </c>
      <c r="E69" s="23">
        <v>691</v>
      </c>
      <c r="F69" s="23">
        <v>0</v>
      </c>
      <c r="G69" s="23">
        <v>41</v>
      </c>
      <c r="H69" s="23">
        <v>130</v>
      </c>
      <c r="I69" s="23">
        <v>159</v>
      </c>
      <c r="J69" s="23">
        <v>0</v>
      </c>
      <c r="K69" s="23">
        <v>0</v>
      </c>
      <c r="L69" s="32" t="s">
        <v>204</v>
      </c>
    </row>
    <row r="70" spans="1:12" x14ac:dyDescent="0.2">
      <c r="A70" s="69">
        <v>45451</v>
      </c>
      <c r="B70" s="23">
        <v>442</v>
      </c>
      <c r="C70" s="23">
        <v>289</v>
      </c>
      <c r="D70" s="23">
        <v>732</v>
      </c>
      <c r="E70" s="23">
        <v>691</v>
      </c>
      <c r="F70" s="23">
        <v>0</v>
      </c>
      <c r="G70" s="23">
        <v>41</v>
      </c>
      <c r="H70" s="23">
        <v>130</v>
      </c>
      <c r="I70" s="23">
        <v>159</v>
      </c>
      <c r="J70" s="23">
        <v>0</v>
      </c>
      <c r="K70" s="23">
        <v>0</v>
      </c>
      <c r="L70" s="32" t="s">
        <v>204</v>
      </c>
    </row>
    <row r="71" spans="1:12" x14ac:dyDescent="0.2">
      <c r="A71" s="69">
        <v>45452</v>
      </c>
      <c r="B71" s="23">
        <v>442</v>
      </c>
      <c r="C71" s="23">
        <v>291</v>
      </c>
      <c r="D71" s="23">
        <v>734</v>
      </c>
      <c r="E71" s="23">
        <v>691</v>
      </c>
      <c r="F71" s="23">
        <v>0</v>
      </c>
      <c r="G71" s="23">
        <v>43</v>
      </c>
      <c r="H71" s="23">
        <v>131</v>
      </c>
      <c r="I71" s="23">
        <v>160</v>
      </c>
      <c r="J71" s="23">
        <v>0</v>
      </c>
      <c r="K71" s="23">
        <v>0</v>
      </c>
      <c r="L71" s="32" t="s">
        <v>205</v>
      </c>
    </row>
    <row r="72" spans="1:12" x14ac:dyDescent="0.2">
      <c r="A72" s="69">
        <v>45453</v>
      </c>
      <c r="B72" s="23">
        <v>442</v>
      </c>
      <c r="C72" s="23">
        <v>289</v>
      </c>
      <c r="D72" s="23">
        <v>732</v>
      </c>
      <c r="E72" s="23">
        <v>691</v>
      </c>
      <c r="F72" s="23">
        <v>0</v>
      </c>
      <c r="G72" s="23">
        <v>41</v>
      </c>
      <c r="H72" s="23">
        <v>131</v>
      </c>
      <c r="I72" s="23">
        <v>159</v>
      </c>
      <c r="J72" s="23">
        <v>0</v>
      </c>
      <c r="K72" s="23">
        <v>0</v>
      </c>
      <c r="L72" s="32" t="s">
        <v>206</v>
      </c>
    </row>
    <row r="73" spans="1:12" x14ac:dyDescent="0.2">
      <c r="A73" s="69">
        <v>45454</v>
      </c>
      <c r="B73" s="23">
        <v>442</v>
      </c>
      <c r="C73" s="23">
        <v>278</v>
      </c>
      <c r="D73" s="23">
        <v>720</v>
      </c>
      <c r="E73" s="23">
        <v>691</v>
      </c>
      <c r="F73" s="23">
        <v>0</v>
      </c>
      <c r="G73" s="23">
        <v>29</v>
      </c>
      <c r="H73" s="23">
        <v>127</v>
      </c>
      <c r="I73" s="23">
        <v>151</v>
      </c>
      <c r="J73" s="23">
        <v>0</v>
      </c>
      <c r="K73" s="23">
        <v>0</v>
      </c>
      <c r="L73" s="32" t="s">
        <v>207</v>
      </c>
    </row>
    <row r="74" spans="1:12" x14ac:dyDescent="0.2">
      <c r="A74" s="69">
        <v>45455</v>
      </c>
      <c r="B74" s="23">
        <v>442</v>
      </c>
      <c r="C74" s="23">
        <v>282</v>
      </c>
      <c r="D74" s="23">
        <v>725</v>
      </c>
      <c r="E74" s="23">
        <v>691</v>
      </c>
      <c r="F74" s="23">
        <v>0</v>
      </c>
      <c r="G74" s="23">
        <v>34</v>
      </c>
      <c r="H74" s="23">
        <v>128</v>
      </c>
      <c r="I74" s="23">
        <v>154</v>
      </c>
      <c r="J74" s="23">
        <v>0</v>
      </c>
      <c r="K74" s="23">
        <v>0</v>
      </c>
      <c r="L74" s="32" t="s">
        <v>208</v>
      </c>
    </row>
    <row r="75" spans="1:12" x14ac:dyDescent="0.2">
      <c r="A75" s="69">
        <v>45456</v>
      </c>
      <c r="B75" s="23">
        <v>442</v>
      </c>
      <c r="C75" s="23">
        <v>275</v>
      </c>
      <c r="D75" s="23">
        <v>718</v>
      </c>
      <c r="E75" s="23">
        <v>691</v>
      </c>
      <c r="F75" s="23">
        <v>0</v>
      </c>
      <c r="G75" s="23">
        <v>27</v>
      </c>
      <c r="H75" s="23">
        <v>126</v>
      </c>
      <c r="I75" s="23">
        <v>150</v>
      </c>
      <c r="J75" s="23">
        <v>0</v>
      </c>
      <c r="K75" s="23">
        <v>0</v>
      </c>
      <c r="L75" s="32" t="s">
        <v>209</v>
      </c>
    </row>
    <row r="76" spans="1:12" x14ac:dyDescent="0.2">
      <c r="A76" s="69">
        <v>45457</v>
      </c>
      <c r="B76" s="23">
        <v>1023</v>
      </c>
      <c r="C76" s="23">
        <v>275</v>
      </c>
      <c r="D76" s="23">
        <v>1298</v>
      </c>
      <c r="E76" s="23">
        <v>1272</v>
      </c>
      <c r="F76" s="23">
        <v>0</v>
      </c>
      <c r="G76" s="23">
        <v>26</v>
      </c>
      <c r="H76" s="23">
        <v>124</v>
      </c>
      <c r="I76" s="23">
        <v>150</v>
      </c>
      <c r="J76" s="23">
        <v>0</v>
      </c>
      <c r="K76" s="23">
        <v>0</v>
      </c>
      <c r="L76" s="32" t="s">
        <v>210</v>
      </c>
    </row>
    <row r="77" spans="1:12" x14ac:dyDescent="0.2">
      <c r="A77" s="69">
        <v>45458</v>
      </c>
      <c r="B77" s="23">
        <v>1023</v>
      </c>
      <c r="C77" s="23">
        <v>279</v>
      </c>
      <c r="D77" s="23">
        <v>1302</v>
      </c>
      <c r="E77" s="23">
        <v>1272</v>
      </c>
      <c r="F77" s="23">
        <v>0</v>
      </c>
      <c r="G77" s="23">
        <v>30</v>
      </c>
      <c r="H77" s="23">
        <v>125</v>
      </c>
      <c r="I77" s="23">
        <v>154</v>
      </c>
      <c r="J77" s="23">
        <v>0</v>
      </c>
      <c r="K77" s="23">
        <v>0</v>
      </c>
      <c r="L77" s="32" t="s">
        <v>211</v>
      </c>
    </row>
    <row r="78" spans="1:12" x14ac:dyDescent="0.2">
      <c r="A78" s="69">
        <v>45459</v>
      </c>
      <c r="B78" s="23">
        <v>1023</v>
      </c>
      <c r="C78" s="23">
        <v>282</v>
      </c>
      <c r="D78" s="23">
        <v>1305</v>
      </c>
      <c r="E78" s="23">
        <v>1272</v>
      </c>
      <c r="F78" s="23">
        <v>0</v>
      </c>
      <c r="G78" s="23">
        <v>33</v>
      </c>
      <c r="H78" s="23">
        <v>125</v>
      </c>
      <c r="I78" s="23">
        <v>157</v>
      </c>
      <c r="J78" s="23">
        <v>0</v>
      </c>
      <c r="K78" s="23">
        <v>0</v>
      </c>
      <c r="L78" s="32" t="s">
        <v>212</v>
      </c>
    </row>
    <row r="79" spans="1:12" x14ac:dyDescent="0.2">
      <c r="A79" s="69">
        <v>45460</v>
      </c>
      <c r="B79" s="23">
        <v>1023</v>
      </c>
      <c r="C79" s="23">
        <v>277</v>
      </c>
      <c r="D79" s="23">
        <v>1300</v>
      </c>
      <c r="E79" s="23">
        <v>1272</v>
      </c>
      <c r="F79" s="23">
        <v>0</v>
      </c>
      <c r="G79" s="23">
        <v>28</v>
      </c>
      <c r="H79" s="23">
        <v>125</v>
      </c>
      <c r="I79" s="23">
        <v>152</v>
      </c>
      <c r="J79" s="23">
        <v>0</v>
      </c>
      <c r="K79" s="23">
        <v>0</v>
      </c>
      <c r="L79" s="32" t="s">
        <v>213</v>
      </c>
    </row>
    <row r="80" spans="1:12" x14ac:dyDescent="0.2">
      <c r="A80" s="69">
        <v>45461</v>
      </c>
      <c r="B80" s="23">
        <v>624</v>
      </c>
      <c r="C80" s="23">
        <v>674</v>
      </c>
      <c r="D80" s="23">
        <v>1298</v>
      </c>
      <c r="E80" s="23">
        <v>1272</v>
      </c>
      <c r="F80" s="23">
        <v>0</v>
      </c>
      <c r="G80" s="23">
        <v>26</v>
      </c>
      <c r="H80" s="23">
        <v>523</v>
      </c>
      <c r="I80" s="23">
        <v>151</v>
      </c>
      <c r="J80" s="23">
        <v>0</v>
      </c>
      <c r="K80" s="23">
        <v>0</v>
      </c>
      <c r="L80" s="32" t="s">
        <v>214</v>
      </c>
    </row>
    <row r="81" spans="1:12" x14ac:dyDescent="0.2">
      <c r="A81" s="69">
        <v>45462</v>
      </c>
      <c r="B81" s="23">
        <v>624</v>
      </c>
      <c r="C81" s="23">
        <v>676</v>
      </c>
      <c r="D81" s="23">
        <v>1299</v>
      </c>
      <c r="E81" s="23">
        <v>1272</v>
      </c>
      <c r="F81" s="23">
        <v>0</v>
      </c>
      <c r="G81" s="23">
        <v>27</v>
      </c>
      <c r="H81" s="23">
        <v>522</v>
      </c>
      <c r="I81" s="23">
        <v>154</v>
      </c>
      <c r="J81" s="23">
        <v>0</v>
      </c>
      <c r="K81" s="23">
        <v>0</v>
      </c>
      <c r="L81" s="32" t="s">
        <v>215</v>
      </c>
    </row>
    <row r="82" spans="1:12" x14ac:dyDescent="0.2">
      <c r="A82" s="69">
        <v>45463</v>
      </c>
      <c r="B82" s="23">
        <v>624</v>
      </c>
      <c r="C82" s="23">
        <v>673</v>
      </c>
      <c r="D82" s="23">
        <v>1296</v>
      </c>
      <c r="E82" s="23">
        <v>1272</v>
      </c>
      <c r="F82" s="23">
        <v>0</v>
      </c>
      <c r="G82" s="23">
        <v>24</v>
      </c>
      <c r="H82" s="23">
        <v>521</v>
      </c>
      <c r="I82" s="23">
        <v>152</v>
      </c>
      <c r="J82" s="23">
        <v>0</v>
      </c>
      <c r="K82" s="23">
        <v>0</v>
      </c>
      <c r="L82" s="32" t="s">
        <v>216</v>
      </c>
    </row>
    <row r="83" spans="1:12" x14ac:dyDescent="0.2">
      <c r="A83" s="69">
        <v>45464</v>
      </c>
      <c r="B83" s="23">
        <v>624</v>
      </c>
      <c r="C83" s="23">
        <v>667</v>
      </c>
      <c r="D83" s="23">
        <v>1291</v>
      </c>
      <c r="E83" s="23">
        <v>1272</v>
      </c>
      <c r="F83" s="23">
        <v>0</v>
      </c>
      <c r="G83" s="23">
        <v>19</v>
      </c>
      <c r="H83" s="23">
        <v>515</v>
      </c>
      <c r="I83" s="23">
        <v>152</v>
      </c>
      <c r="J83" s="23">
        <v>0</v>
      </c>
      <c r="K83" s="23">
        <v>0</v>
      </c>
      <c r="L83" s="32" t="s">
        <v>217</v>
      </c>
    </row>
    <row r="84" spans="1:12" x14ac:dyDescent="0.2">
      <c r="A84" s="69">
        <v>45465</v>
      </c>
      <c r="B84" s="23">
        <v>624</v>
      </c>
      <c r="C84" s="23">
        <v>667</v>
      </c>
      <c r="D84" s="23">
        <v>1291</v>
      </c>
      <c r="E84" s="23">
        <v>1272</v>
      </c>
      <c r="F84" s="23">
        <v>0</v>
      </c>
      <c r="G84" s="23">
        <v>19</v>
      </c>
      <c r="H84" s="23">
        <v>516</v>
      </c>
      <c r="I84" s="23">
        <v>151</v>
      </c>
      <c r="J84" s="23">
        <v>0</v>
      </c>
      <c r="K84" s="23">
        <v>0</v>
      </c>
      <c r="L84" s="32" t="s">
        <v>218</v>
      </c>
    </row>
    <row r="85" spans="1:12" x14ac:dyDescent="0.2">
      <c r="A85" s="69">
        <v>45466</v>
      </c>
      <c r="B85" s="23">
        <v>624</v>
      </c>
      <c r="C85" s="23">
        <v>655</v>
      </c>
      <c r="D85" s="23">
        <v>1279</v>
      </c>
      <c r="E85" s="23">
        <v>1272</v>
      </c>
      <c r="F85" s="23">
        <v>0</v>
      </c>
      <c r="G85" s="23">
        <v>7</v>
      </c>
      <c r="H85" s="23">
        <v>508</v>
      </c>
      <c r="I85" s="23">
        <v>148</v>
      </c>
      <c r="J85" s="23">
        <v>0</v>
      </c>
      <c r="K85" s="23">
        <v>0</v>
      </c>
      <c r="L85" s="32" t="s">
        <v>219</v>
      </c>
    </row>
    <row r="86" spans="1:12" x14ac:dyDescent="0.2">
      <c r="A86" s="69">
        <v>45467</v>
      </c>
      <c r="B86" s="23">
        <v>1201</v>
      </c>
      <c r="C86" s="23">
        <v>629</v>
      </c>
      <c r="D86" s="23">
        <v>1830</v>
      </c>
      <c r="E86" s="23">
        <v>1849</v>
      </c>
      <c r="F86" s="23">
        <v>0</v>
      </c>
      <c r="G86" s="23">
        <v>-19</v>
      </c>
      <c r="H86" s="23">
        <v>484</v>
      </c>
      <c r="I86" s="23">
        <v>145</v>
      </c>
      <c r="J86" s="23">
        <v>0</v>
      </c>
      <c r="K86" s="23">
        <v>0</v>
      </c>
      <c r="L86" s="32" t="s">
        <v>220</v>
      </c>
    </row>
    <row r="87" spans="1:12" x14ac:dyDescent="0.2">
      <c r="A87" s="69">
        <v>45468</v>
      </c>
      <c r="B87" s="23">
        <v>801</v>
      </c>
      <c r="C87" s="23">
        <v>1055</v>
      </c>
      <c r="D87" s="23">
        <v>1856</v>
      </c>
      <c r="E87" s="23">
        <v>1849</v>
      </c>
      <c r="F87" s="23">
        <v>0</v>
      </c>
      <c r="G87" s="23">
        <v>7</v>
      </c>
      <c r="H87" s="23">
        <v>909</v>
      </c>
      <c r="I87" s="23">
        <v>147</v>
      </c>
      <c r="J87" s="23">
        <v>0</v>
      </c>
      <c r="K87" s="23">
        <v>0</v>
      </c>
      <c r="L87" s="32" t="s">
        <v>221</v>
      </c>
    </row>
    <row r="88" spans="1:12" x14ac:dyDescent="0.2">
      <c r="A88" s="69">
        <v>45469</v>
      </c>
      <c r="B88" s="23">
        <v>801</v>
      </c>
      <c r="C88" s="23">
        <v>1040</v>
      </c>
      <c r="D88" s="23">
        <v>1841</v>
      </c>
      <c r="E88" s="23">
        <v>1849</v>
      </c>
      <c r="F88" s="23">
        <v>0</v>
      </c>
      <c r="G88" s="23">
        <v>-8</v>
      </c>
      <c r="H88" s="23">
        <v>895</v>
      </c>
      <c r="I88" s="23">
        <v>146</v>
      </c>
      <c r="J88" s="23">
        <v>0</v>
      </c>
      <c r="K88" s="23">
        <v>0</v>
      </c>
      <c r="L88" s="32" t="s">
        <v>222</v>
      </c>
    </row>
    <row r="89" spans="1:12" x14ac:dyDescent="0.2">
      <c r="A89" s="69">
        <v>45470</v>
      </c>
      <c r="B89" s="23">
        <v>801</v>
      </c>
      <c r="C89" s="23">
        <v>1056</v>
      </c>
      <c r="D89" s="23">
        <v>1857</v>
      </c>
      <c r="E89" s="23">
        <v>1849</v>
      </c>
      <c r="F89" s="23">
        <v>0</v>
      </c>
      <c r="G89" s="23">
        <v>8</v>
      </c>
      <c r="H89" s="23">
        <v>907</v>
      </c>
      <c r="I89" s="23">
        <v>149</v>
      </c>
      <c r="J89" s="23">
        <v>0</v>
      </c>
      <c r="K89" s="23">
        <v>0</v>
      </c>
      <c r="L89" s="32" t="s">
        <v>223</v>
      </c>
    </row>
    <row r="90" spans="1:12" x14ac:dyDescent="0.2">
      <c r="A90" s="69">
        <v>45471</v>
      </c>
      <c r="B90" s="23">
        <v>801</v>
      </c>
      <c r="C90" s="23">
        <v>1034</v>
      </c>
      <c r="D90" s="23">
        <v>1835</v>
      </c>
      <c r="E90" s="23">
        <v>1849</v>
      </c>
      <c r="F90" s="23">
        <v>0</v>
      </c>
      <c r="G90" s="23">
        <v>-14</v>
      </c>
      <c r="H90" s="23">
        <v>888</v>
      </c>
      <c r="I90" s="23">
        <v>146</v>
      </c>
      <c r="J90" s="23">
        <v>0</v>
      </c>
      <c r="K90" s="23">
        <v>0</v>
      </c>
      <c r="L90" s="32" t="s">
        <v>224</v>
      </c>
    </row>
    <row r="91" spans="1:12" x14ac:dyDescent="0.2">
      <c r="A91" s="69">
        <v>45472</v>
      </c>
      <c r="B91" s="23">
        <v>801</v>
      </c>
      <c r="C91" s="23">
        <v>1043</v>
      </c>
      <c r="D91" s="23">
        <v>1843</v>
      </c>
      <c r="E91" s="23">
        <v>1849</v>
      </c>
      <c r="F91" s="23">
        <v>0</v>
      </c>
      <c r="G91" s="23">
        <v>-6</v>
      </c>
      <c r="H91" s="23">
        <v>897</v>
      </c>
      <c r="I91" s="23">
        <v>146</v>
      </c>
      <c r="J91" s="23">
        <v>0</v>
      </c>
      <c r="K91" s="23">
        <v>0</v>
      </c>
      <c r="L91" s="32" t="s">
        <v>225</v>
      </c>
    </row>
    <row r="92" spans="1:12" x14ac:dyDescent="0.2">
      <c r="A92" s="69">
        <v>45473</v>
      </c>
      <c r="B92" s="23">
        <v>801</v>
      </c>
      <c r="C92" s="23">
        <v>1071</v>
      </c>
      <c r="D92" s="23">
        <v>1872</v>
      </c>
      <c r="E92" s="23">
        <v>1849</v>
      </c>
      <c r="F92" s="23">
        <v>0</v>
      </c>
      <c r="G92" s="23">
        <v>23</v>
      </c>
      <c r="H92" s="23">
        <v>923</v>
      </c>
      <c r="I92" s="23">
        <v>149</v>
      </c>
      <c r="J92" s="23">
        <v>0</v>
      </c>
      <c r="K92" s="23">
        <v>0</v>
      </c>
      <c r="L92" s="32" t="s">
        <v>226</v>
      </c>
    </row>
    <row r="93" spans="1:12" x14ac:dyDescent="0.2">
      <c r="A93" s="69">
        <v>45474</v>
      </c>
      <c r="B93" s="23">
        <v>801</v>
      </c>
      <c r="C93" s="23">
        <v>1073</v>
      </c>
      <c r="D93" s="23">
        <v>1874</v>
      </c>
      <c r="E93" s="23">
        <v>1849</v>
      </c>
      <c r="F93" s="23">
        <v>0</v>
      </c>
      <c r="G93" s="23">
        <v>25</v>
      </c>
      <c r="H93" s="23">
        <v>925</v>
      </c>
      <c r="I93" s="23">
        <v>149</v>
      </c>
      <c r="J93" s="23">
        <v>0</v>
      </c>
      <c r="K93" s="23">
        <v>0</v>
      </c>
      <c r="L93" s="32" t="s">
        <v>227</v>
      </c>
    </row>
    <row r="94" spans="1:12" x14ac:dyDescent="0.2">
      <c r="A94" s="69">
        <v>45475</v>
      </c>
      <c r="B94" s="23">
        <v>801</v>
      </c>
      <c r="C94" s="23">
        <v>1061</v>
      </c>
      <c r="D94" s="23">
        <v>1862</v>
      </c>
      <c r="E94" s="23">
        <v>1849</v>
      </c>
      <c r="F94" s="23">
        <v>0</v>
      </c>
      <c r="G94" s="23">
        <v>13</v>
      </c>
      <c r="H94" s="23">
        <v>913</v>
      </c>
      <c r="I94" s="23">
        <v>148</v>
      </c>
      <c r="J94" s="23">
        <v>0</v>
      </c>
      <c r="K94" s="23">
        <v>0</v>
      </c>
      <c r="L94" s="32" t="s">
        <v>228</v>
      </c>
    </row>
    <row r="95" spans="1:12" x14ac:dyDescent="0.2">
      <c r="A95" s="69">
        <v>45476</v>
      </c>
      <c r="B95" s="23">
        <v>801</v>
      </c>
      <c r="C95" s="23">
        <v>1027</v>
      </c>
      <c r="D95" s="23">
        <v>1828</v>
      </c>
      <c r="E95" s="23">
        <v>1849</v>
      </c>
      <c r="F95" s="23">
        <v>0</v>
      </c>
      <c r="G95" s="23">
        <v>-21</v>
      </c>
      <c r="H95" s="23">
        <v>885</v>
      </c>
      <c r="I95" s="23">
        <v>142</v>
      </c>
      <c r="J95" s="23">
        <v>0</v>
      </c>
      <c r="K95" s="23">
        <v>0</v>
      </c>
      <c r="L95" s="32" t="s">
        <v>229</v>
      </c>
    </row>
    <row r="96" spans="1:12" x14ac:dyDescent="0.2">
      <c r="A96" s="69">
        <v>45477</v>
      </c>
      <c r="B96" s="23">
        <v>445</v>
      </c>
      <c r="C96" s="23">
        <v>1311</v>
      </c>
      <c r="D96" s="23">
        <v>1756</v>
      </c>
      <c r="E96" s="23">
        <v>1849</v>
      </c>
      <c r="F96" s="23">
        <v>0</v>
      </c>
      <c r="G96" s="23">
        <v>-93</v>
      </c>
      <c r="H96" s="23">
        <v>839</v>
      </c>
      <c r="I96" s="23">
        <v>472</v>
      </c>
      <c r="J96" s="23">
        <v>0</v>
      </c>
      <c r="K96" s="23">
        <v>0</v>
      </c>
      <c r="L96" s="32" t="s">
        <v>230</v>
      </c>
    </row>
    <row r="97" spans="1:12" x14ac:dyDescent="0.2">
      <c r="A97" s="69">
        <v>45478</v>
      </c>
      <c r="B97" s="23">
        <v>445</v>
      </c>
      <c r="C97" s="23">
        <v>1293</v>
      </c>
      <c r="D97" s="23">
        <v>1738</v>
      </c>
      <c r="E97" s="23">
        <v>1849</v>
      </c>
      <c r="F97" s="23">
        <v>0</v>
      </c>
      <c r="G97" s="23">
        <v>-111</v>
      </c>
      <c r="H97" s="23">
        <v>832</v>
      </c>
      <c r="I97" s="23">
        <v>460</v>
      </c>
      <c r="J97" s="23">
        <v>0</v>
      </c>
      <c r="K97" s="23">
        <v>0</v>
      </c>
      <c r="L97" s="32" t="s">
        <v>231</v>
      </c>
    </row>
    <row r="98" spans="1:12" x14ac:dyDescent="0.2">
      <c r="A98" s="69">
        <v>45479</v>
      </c>
      <c r="B98" s="23">
        <v>445</v>
      </c>
      <c r="C98" s="23">
        <v>1330</v>
      </c>
      <c r="D98" s="23">
        <v>1774</v>
      </c>
      <c r="E98" s="23">
        <v>1849</v>
      </c>
      <c r="F98" s="23">
        <v>0</v>
      </c>
      <c r="G98" s="23">
        <v>-75</v>
      </c>
      <c r="H98" s="23">
        <v>856</v>
      </c>
      <c r="I98" s="23">
        <v>474</v>
      </c>
      <c r="J98" s="23">
        <v>0</v>
      </c>
      <c r="K98" s="23">
        <v>0</v>
      </c>
      <c r="L98" s="32" t="s">
        <v>232</v>
      </c>
    </row>
    <row r="99" spans="1:12" x14ac:dyDescent="0.2">
      <c r="A99" s="69">
        <v>45480</v>
      </c>
      <c r="B99" s="23">
        <v>445</v>
      </c>
      <c r="C99" s="23">
        <v>1274</v>
      </c>
      <c r="D99" s="23">
        <v>1718</v>
      </c>
      <c r="E99" s="23">
        <v>1849</v>
      </c>
      <c r="F99" s="23">
        <v>0</v>
      </c>
      <c r="G99" s="23">
        <v>-131</v>
      </c>
      <c r="H99" s="23">
        <v>821</v>
      </c>
      <c r="I99" s="23">
        <v>453</v>
      </c>
      <c r="J99" s="23">
        <v>0</v>
      </c>
      <c r="K99" s="23">
        <v>0</v>
      </c>
      <c r="L99" s="32" t="s">
        <v>233</v>
      </c>
    </row>
    <row r="100" spans="1:12" x14ac:dyDescent="0.2">
      <c r="A100" s="69">
        <v>45481</v>
      </c>
      <c r="B100" s="23">
        <v>829</v>
      </c>
      <c r="C100" s="23">
        <v>1300</v>
      </c>
      <c r="D100" s="23">
        <v>2129</v>
      </c>
      <c r="E100" s="23">
        <v>2233</v>
      </c>
      <c r="F100" s="23">
        <v>0</v>
      </c>
      <c r="G100" s="23">
        <v>-104</v>
      </c>
      <c r="H100" s="23">
        <v>834</v>
      </c>
      <c r="I100" s="23">
        <v>466</v>
      </c>
      <c r="J100" s="23">
        <v>0</v>
      </c>
      <c r="K100" s="23">
        <v>0</v>
      </c>
      <c r="L100" s="32" t="s">
        <v>234</v>
      </c>
    </row>
    <row r="101" spans="1:12" x14ac:dyDescent="0.2">
      <c r="A101" s="69">
        <v>45482</v>
      </c>
      <c r="B101" s="23">
        <v>829</v>
      </c>
      <c r="C101" s="23">
        <v>1327</v>
      </c>
      <c r="D101" s="23">
        <v>2156</v>
      </c>
      <c r="E101" s="23">
        <v>2233</v>
      </c>
      <c r="F101" s="23">
        <v>0</v>
      </c>
      <c r="G101" s="23">
        <v>-77</v>
      </c>
      <c r="H101" s="23">
        <v>853</v>
      </c>
      <c r="I101" s="23">
        <v>474</v>
      </c>
      <c r="J101" s="23">
        <v>0</v>
      </c>
      <c r="K101" s="23">
        <v>0</v>
      </c>
      <c r="L101" s="32" t="s">
        <v>235</v>
      </c>
    </row>
    <row r="102" spans="1:12" x14ac:dyDescent="0.2">
      <c r="A102" s="69">
        <v>45483</v>
      </c>
      <c r="B102" s="23">
        <v>829</v>
      </c>
      <c r="C102" s="23">
        <v>1327</v>
      </c>
      <c r="D102" s="23">
        <v>2156</v>
      </c>
      <c r="E102" s="23">
        <v>2233</v>
      </c>
      <c r="F102" s="23">
        <v>0</v>
      </c>
      <c r="G102" s="23">
        <v>-77</v>
      </c>
      <c r="H102" s="23">
        <v>849</v>
      </c>
      <c r="I102" s="23">
        <v>479</v>
      </c>
      <c r="J102" s="23">
        <v>0</v>
      </c>
      <c r="K102" s="23">
        <v>0</v>
      </c>
      <c r="L102" s="32" t="s">
        <v>236</v>
      </c>
    </row>
    <row r="103" spans="1:12" x14ac:dyDescent="0.2">
      <c r="A103" s="69">
        <v>45484</v>
      </c>
      <c r="B103" s="23">
        <v>829</v>
      </c>
      <c r="C103" s="23">
        <v>1322</v>
      </c>
      <c r="D103" s="23">
        <v>2150</v>
      </c>
      <c r="E103" s="23">
        <v>2233</v>
      </c>
      <c r="F103" s="23">
        <v>0</v>
      </c>
      <c r="G103" s="23">
        <v>-83</v>
      </c>
      <c r="H103" s="23">
        <v>843</v>
      </c>
      <c r="I103" s="23">
        <v>479</v>
      </c>
      <c r="J103" s="23">
        <v>0</v>
      </c>
      <c r="K103" s="23">
        <v>0</v>
      </c>
      <c r="L103" s="32" t="s">
        <v>237</v>
      </c>
    </row>
    <row r="104" spans="1:12" x14ac:dyDescent="0.2">
      <c r="A104" s="69">
        <v>45485</v>
      </c>
      <c r="B104" s="23">
        <v>829</v>
      </c>
      <c r="C104" s="23">
        <v>1335</v>
      </c>
      <c r="D104" s="23">
        <v>2164</v>
      </c>
      <c r="E104" s="23">
        <v>2233</v>
      </c>
      <c r="F104" s="23">
        <v>0</v>
      </c>
      <c r="G104" s="23">
        <v>-69</v>
      </c>
      <c r="H104" s="23">
        <v>851</v>
      </c>
      <c r="I104" s="23">
        <v>484</v>
      </c>
      <c r="J104" s="23">
        <v>0</v>
      </c>
      <c r="K104" s="23">
        <v>0</v>
      </c>
      <c r="L104" s="32" t="s">
        <v>238</v>
      </c>
    </row>
    <row r="105" spans="1:12" x14ac:dyDescent="0.2">
      <c r="A105" s="69">
        <v>45486</v>
      </c>
      <c r="B105" s="23">
        <v>829</v>
      </c>
      <c r="C105" s="23">
        <v>1361</v>
      </c>
      <c r="D105" s="23">
        <v>2189</v>
      </c>
      <c r="E105" s="23">
        <v>2233</v>
      </c>
      <c r="F105" s="23">
        <v>0</v>
      </c>
      <c r="G105" s="23">
        <v>-44</v>
      </c>
      <c r="H105" s="23">
        <v>870</v>
      </c>
      <c r="I105" s="23">
        <v>490</v>
      </c>
      <c r="J105" s="23">
        <v>0</v>
      </c>
      <c r="K105" s="23">
        <v>0</v>
      </c>
      <c r="L105" s="32" t="s">
        <v>239</v>
      </c>
    </row>
    <row r="106" spans="1:12" x14ac:dyDescent="0.2">
      <c r="A106" s="69">
        <v>45487</v>
      </c>
      <c r="B106" s="23">
        <v>829</v>
      </c>
      <c r="C106" s="23">
        <v>1395</v>
      </c>
      <c r="D106" s="23">
        <v>2223</v>
      </c>
      <c r="E106" s="23">
        <v>2233</v>
      </c>
      <c r="F106" s="23">
        <v>0</v>
      </c>
      <c r="G106" s="23">
        <v>-10</v>
      </c>
      <c r="H106" s="23">
        <v>894</v>
      </c>
      <c r="I106" s="23">
        <v>501</v>
      </c>
      <c r="J106" s="23">
        <v>0</v>
      </c>
      <c r="K106" s="23">
        <v>0</v>
      </c>
      <c r="L106" s="32" t="s">
        <v>240</v>
      </c>
    </row>
    <row r="107" spans="1:12" x14ac:dyDescent="0.2">
      <c r="A107" s="69">
        <v>45488</v>
      </c>
      <c r="B107" s="23">
        <v>829</v>
      </c>
      <c r="C107" s="23">
        <v>1489</v>
      </c>
      <c r="D107" s="23">
        <v>2318</v>
      </c>
      <c r="E107" s="23">
        <v>2233</v>
      </c>
      <c r="F107" s="23">
        <v>0</v>
      </c>
      <c r="G107" s="23">
        <v>85</v>
      </c>
      <c r="H107" s="23">
        <v>951</v>
      </c>
      <c r="I107" s="23">
        <v>538</v>
      </c>
      <c r="J107" s="23">
        <v>0</v>
      </c>
      <c r="K107" s="23">
        <v>0</v>
      </c>
      <c r="L107" s="32" t="s">
        <v>241</v>
      </c>
    </row>
    <row r="108" spans="1:12" x14ac:dyDescent="0.2">
      <c r="A108" s="69">
        <v>45489</v>
      </c>
      <c r="B108" s="23">
        <v>829</v>
      </c>
      <c r="C108" s="23">
        <v>1488</v>
      </c>
      <c r="D108" s="23">
        <v>2317</v>
      </c>
      <c r="E108" s="23">
        <v>2233</v>
      </c>
      <c r="F108" s="23">
        <v>0</v>
      </c>
      <c r="G108" s="23">
        <v>84</v>
      </c>
      <c r="H108" s="23">
        <v>956</v>
      </c>
      <c r="I108" s="23">
        <v>532</v>
      </c>
      <c r="J108" s="23">
        <v>0</v>
      </c>
      <c r="K108" s="23">
        <v>0</v>
      </c>
      <c r="L108" s="32" t="s">
        <v>242</v>
      </c>
    </row>
    <row r="109" spans="1:12" x14ac:dyDescent="0.2">
      <c r="A109" s="69">
        <v>45490</v>
      </c>
      <c r="B109" s="23">
        <v>829</v>
      </c>
      <c r="C109" s="23">
        <v>1465</v>
      </c>
      <c r="D109" s="23">
        <v>2294</v>
      </c>
      <c r="E109" s="23">
        <v>2233</v>
      </c>
      <c r="F109" s="23">
        <v>0</v>
      </c>
      <c r="G109" s="23">
        <v>61</v>
      </c>
      <c r="H109" s="23">
        <v>942</v>
      </c>
      <c r="I109" s="23">
        <v>523</v>
      </c>
      <c r="J109" s="23">
        <v>0</v>
      </c>
      <c r="K109" s="23">
        <v>0</v>
      </c>
      <c r="L109" s="32" t="s">
        <v>243</v>
      </c>
    </row>
    <row r="110" spans="1:12" x14ac:dyDescent="0.2">
      <c r="A110" s="69">
        <v>45491</v>
      </c>
      <c r="B110" s="23">
        <v>829</v>
      </c>
      <c r="C110" s="23">
        <v>1470</v>
      </c>
      <c r="D110" s="23">
        <v>2298</v>
      </c>
      <c r="E110" s="23">
        <v>2233</v>
      </c>
      <c r="F110" s="23">
        <v>0</v>
      </c>
      <c r="G110" s="23">
        <v>65</v>
      </c>
      <c r="H110" s="23">
        <v>941</v>
      </c>
      <c r="I110" s="23">
        <v>529</v>
      </c>
      <c r="J110" s="23">
        <v>0</v>
      </c>
      <c r="K110" s="23">
        <v>0</v>
      </c>
      <c r="L110" s="32" t="s">
        <v>244</v>
      </c>
    </row>
    <row r="111" spans="1:12" x14ac:dyDescent="0.2">
      <c r="A111" s="69">
        <v>45492</v>
      </c>
      <c r="B111" s="23">
        <v>829</v>
      </c>
      <c r="C111" s="23">
        <v>1521</v>
      </c>
      <c r="D111" s="23">
        <v>2350</v>
      </c>
      <c r="E111" s="23">
        <v>2233</v>
      </c>
      <c r="F111" s="23">
        <v>0</v>
      </c>
      <c r="G111" s="23">
        <v>117</v>
      </c>
      <c r="H111" s="23">
        <v>980</v>
      </c>
      <c r="I111" s="23">
        <v>541</v>
      </c>
      <c r="J111" s="23">
        <v>0</v>
      </c>
      <c r="K111" s="23">
        <v>0</v>
      </c>
      <c r="L111" s="32" t="s">
        <v>245</v>
      </c>
    </row>
    <row r="112" spans="1:12" x14ac:dyDescent="0.2">
      <c r="A112" s="69">
        <v>45493</v>
      </c>
      <c r="B112" s="23">
        <v>829</v>
      </c>
      <c r="C112" s="23">
        <v>1530</v>
      </c>
      <c r="D112" s="23">
        <v>2359</v>
      </c>
      <c r="E112" s="23">
        <v>2233</v>
      </c>
      <c r="F112" s="23">
        <v>0</v>
      </c>
      <c r="G112" s="23">
        <v>126</v>
      </c>
      <c r="H112" s="23">
        <v>987</v>
      </c>
      <c r="I112" s="23">
        <v>543</v>
      </c>
      <c r="J112" s="23">
        <v>0</v>
      </c>
      <c r="K112" s="23">
        <v>0</v>
      </c>
      <c r="L112" s="32" t="s">
        <v>246</v>
      </c>
    </row>
    <row r="113" spans="1:12" x14ac:dyDescent="0.2">
      <c r="A113" s="69">
        <v>45494</v>
      </c>
      <c r="B113" s="23">
        <v>829</v>
      </c>
      <c r="C113" s="23">
        <v>1548</v>
      </c>
      <c r="D113" s="23">
        <v>2377</v>
      </c>
      <c r="E113" s="23">
        <v>2233</v>
      </c>
      <c r="F113" s="23">
        <v>0</v>
      </c>
      <c r="G113" s="23">
        <v>144</v>
      </c>
      <c r="H113" s="23">
        <v>1002</v>
      </c>
      <c r="I113" s="23">
        <v>546</v>
      </c>
      <c r="J113" s="23">
        <v>0</v>
      </c>
      <c r="K113" s="23">
        <v>0</v>
      </c>
      <c r="L113" s="32" t="s">
        <v>247</v>
      </c>
    </row>
    <row r="114" spans="1:12" x14ac:dyDescent="0.2">
      <c r="A114" s="69">
        <v>45495</v>
      </c>
      <c r="B114" s="23">
        <v>829</v>
      </c>
      <c r="C114" s="23">
        <v>1524</v>
      </c>
      <c r="D114" s="23">
        <v>2353</v>
      </c>
      <c r="E114" s="23">
        <v>2233</v>
      </c>
      <c r="F114" s="23">
        <v>0</v>
      </c>
      <c r="G114" s="23">
        <v>120</v>
      </c>
      <c r="H114" s="23">
        <v>993</v>
      </c>
      <c r="I114" s="23">
        <v>531</v>
      </c>
      <c r="J114" s="23">
        <v>0</v>
      </c>
      <c r="K114" s="23">
        <v>0</v>
      </c>
      <c r="L114" s="32" t="s">
        <v>248</v>
      </c>
    </row>
    <row r="115" spans="1:12" x14ac:dyDescent="0.2">
      <c r="A115" s="69">
        <v>45496</v>
      </c>
      <c r="B115" s="23">
        <v>829</v>
      </c>
      <c r="C115" s="23">
        <v>1507</v>
      </c>
      <c r="D115" s="23">
        <v>2336</v>
      </c>
      <c r="E115" s="23">
        <v>2233</v>
      </c>
      <c r="F115" s="23">
        <v>0</v>
      </c>
      <c r="G115" s="23">
        <v>103</v>
      </c>
      <c r="H115" s="23">
        <v>969</v>
      </c>
      <c r="I115" s="23">
        <v>538</v>
      </c>
      <c r="J115" s="23">
        <v>0</v>
      </c>
      <c r="K115" s="23">
        <v>0</v>
      </c>
      <c r="L115" s="32" t="s">
        <v>249</v>
      </c>
    </row>
    <row r="116" spans="1:12" x14ac:dyDescent="0.2">
      <c r="A116" s="69">
        <v>45497</v>
      </c>
      <c r="B116" s="23">
        <v>829</v>
      </c>
      <c r="C116" s="23">
        <v>1476</v>
      </c>
      <c r="D116" s="23">
        <v>2305</v>
      </c>
      <c r="E116" s="23">
        <v>2233</v>
      </c>
      <c r="F116" s="23">
        <v>0</v>
      </c>
      <c r="G116" s="23">
        <v>72</v>
      </c>
      <c r="H116" s="23">
        <v>961</v>
      </c>
      <c r="I116" s="23">
        <v>515</v>
      </c>
      <c r="J116" s="23">
        <v>0</v>
      </c>
      <c r="K116" s="23">
        <v>0</v>
      </c>
      <c r="L116" s="32" t="s">
        <v>250</v>
      </c>
    </row>
    <row r="117" spans="1:12" x14ac:dyDescent="0.2">
      <c r="A117" s="69">
        <v>45498</v>
      </c>
      <c r="B117" s="23">
        <v>829</v>
      </c>
      <c r="C117" s="23">
        <v>1458</v>
      </c>
      <c r="D117" s="23">
        <v>2286</v>
      </c>
      <c r="E117" s="23">
        <v>2233</v>
      </c>
      <c r="F117" s="23">
        <v>0</v>
      </c>
      <c r="G117" s="23">
        <v>53</v>
      </c>
      <c r="H117" s="23">
        <v>967</v>
      </c>
      <c r="I117" s="23">
        <v>490</v>
      </c>
      <c r="J117" s="23">
        <v>0</v>
      </c>
      <c r="K117" s="23">
        <v>0</v>
      </c>
      <c r="L117" s="32" t="s">
        <v>251</v>
      </c>
    </row>
    <row r="118" spans="1:12" x14ac:dyDescent="0.2">
      <c r="A118" s="69">
        <v>45499</v>
      </c>
      <c r="B118" s="23">
        <v>829</v>
      </c>
      <c r="C118" s="23">
        <v>1504</v>
      </c>
      <c r="D118" s="23">
        <v>2333</v>
      </c>
      <c r="E118" s="23">
        <v>2233</v>
      </c>
      <c r="F118" s="23">
        <v>0</v>
      </c>
      <c r="G118" s="23">
        <v>100</v>
      </c>
      <c r="H118" s="23">
        <v>998</v>
      </c>
      <c r="I118" s="23">
        <v>506</v>
      </c>
      <c r="J118" s="23">
        <v>0</v>
      </c>
      <c r="K118" s="23">
        <v>0</v>
      </c>
      <c r="L118" s="32" t="s">
        <v>252</v>
      </c>
    </row>
    <row r="119" spans="1:12" x14ac:dyDescent="0.2">
      <c r="A119" s="69">
        <v>45500</v>
      </c>
      <c r="B119" s="23">
        <v>829</v>
      </c>
      <c r="C119" s="23">
        <v>1500</v>
      </c>
      <c r="D119" s="23">
        <v>2328</v>
      </c>
      <c r="E119" s="23">
        <v>2233</v>
      </c>
      <c r="F119" s="23">
        <v>0</v>
      </c>
      <c r="G119" s="23">
        <v>95</v>
      </c>
      <c r="H119" s="23">
        <v>998</v>
      </c>
      <c r="I119" s="23">
        <v>502</v>
      </c>
      <c r="J119" s="23">
        <v>0</v>
      </c>
      <c r="K119" s="23">
        <v>0</v>
      </c>
      <c r="L119" s="32" t="s">
        <v>253</v>
      </c>
    </row>
    <row r="120" spans="1:12" x14ac:dyDescent="0.2">
      <c r="A120" s="69">
        <v>45501</v>
      </c>
      <c r="B120" s="23">
        <v>829</v>
      </c>
      <c r="C120" s="23">
        <v>1508</v>
      </c>
      <c r="D120" s="23">
        <v>2337</v>
      </c>
      <c r="E120" s="23">
        <v>2233</v>
      </c>
      <c r="F120" s="23">
        <v>0</v>
      </c>
      <c r="G120" s="23">
        <v>104</v>
      </c>
      <c r="H120" s="23">
        <v>1003</v>
      </c>
      <c r="I120" s="23">
        <v>505</v>
      </c>
      <c r="J120" s="23">
        <v>0</v>
      </c>
      <c r="K120" s="23">
        <v>0</v>
      </c>
      <c r="L120" s="32" t="s">
        <v>254</v>
      </c>
    </row>
    <row r="121" spans="1:12" x14ac:dyDescent="0.2">
      <c r="A121" s="69">
        <v>45502</v>
      </c>
      <c r="B121" s="23">
        <v>829</v>
      </c>
      <c r="C121" s="23">
        <v>1494</v>
      </c>
      <c r="D121" s="23">
        <v>2323</v>
      </c>
      <c r="E121" s="23">
        <v>2233</v>
      </c>
      <c r="F121" s="23">
        <v>0</v>
      </c>
      <c r="G121" s="23">
        <v>90</v>
      </c>
      <c r="H121" s="23">
        <v>982</v>
      </c>
      <c r="I121" s="23">
        <v>512</v>
      </c>
      <c r="J121" s="23">
        <v>0</v>
      </c>
      <c r="K121" s="23">
        <v>0</v>
      </c>
      <c r="L121" s="32" t="s">
        <v>255</v>
      </c>
    </row>
    <row r="122" spans="1:12" x14ac:dyDescent="0.2">
      <c r="A122" s="69">
        <v>45503</v>
      </c>
      <c r="B122" s="23">
        <v>829</v>
      </c>
      <c r="C122" s="23">
        <v>1479</v>
      </c>
      <c r="D122" s="23">
        <v>2308</v>
      </c>
      <c r="E122" s="23">
        <v>2233</v>
      </c>
      <c r="F122" s="23">
        <v>0</v>
      </c>
      <c r="G122" s="23">
        <v>75</v>
      </c>
      <c r="H122" s="23">
        <v>973</v>
      </c>
      <c r="I122" s="23">
        <v>506</v>
      </c>
      <c r="J122" s="23">
        <v>0</v>
      </c>
      <c r="K122" s="23">
        <v>0</v>
      </c>
      <c r="L122" s="32" t="s">
        <v>256</v>
      </c>
    </row>
    <row r="123" spans="1:12" x14ac:dyDescent="0.2">
      <c r="A123" s="69">
        <v>45504</v>
      </c>
      <c r="B123" s="23">
        <v>829</v>
      </c>
      <c r="C123" s="23">
        <v>1449</v>
      </c>
      <c r="D123" s="23">
        <v>2278</v>
      </c>
      <c r="E123" s="23">
        <v>2233</v>
      </c>
      <c r="F123" s="23">
        <v>0</v>
      </c>
      <c r="G123" s="23">
        <v>45</v>
      </c>
      <c r="H123" s="23">
        <v>950</v>
      </c>
      <c r="I123" s="23">
        <v>499</v>
      </c>
      <c r="J123" s="23">
        <v>0</v>
      </c>
      <c r="K123" s="23">
        <v>0</v>
      </c>
      <c r="L123" s="32" t="s">
        <v>257</v>
      </c>
    </row>
    <row r="124" spans="1:12" x14ac:dyDescent="0.2">
      <c r="A124" s="69">
        <v>45505</v>
      </c>
      <c r="B124" s="23">
        <v>829</v>
      </c>
      <c r="C124" s="23">
        <v>1455</v>
      </c>
      <c r="D124" s="23">
        <v>2284</v>
      </c>
      <c r="E124" s="23">
        <v>2233</v>
      </c>
      <c r="F124" s="23">
        <v>0</v>
      </c>
      <c r="G124" s="23">
        <v>51</v>
      </c>
      <c r="H124" s="23">
        <v>961</v>
      </c>
      <c r="I124" s="23">
        <v>495</v>
      </c>
      <c r="J124" s="23">
        <v>0</v>
      </c>
      <c r="K124" s="23">
        <v>0</v>
      </c>
      <c r="L124" s="32" t="s">
        <v>258</v>
      </c>
    </row>
    <row r="125" spans="1:12" x14ac:dyDescent="0.2">
      <c r="A125" s="69">
        <v>45506</v>
      </c>
      <c r="B125" s="23">
        <v>633</v>
      </c>
      <c r="C125" s="23">
        <v>1560</v>
      </c>
      <c r="D125" s="23">
        <v>2194</v>
      </c>
      <c r="E125" s="23">
        <v>2233</v>
      </c>
      <c r="F125" s="23">
        <v>0</v>
      </c>
      <c r="G125" s="23">
        <v>-39</v>
      </c>
      <c r="H125" s="23">
        <v>904</v>
      </c>
      <c r="I125" s="23">
        <v>656</v>
      </c>
      <c r="J125" s="23">
        <v>0</v>
      </c>
      <c r="K125" s="23">
        <v>0</v>
      </c>
      <c r="L125" s="32" t="s">
        <v>259</v>
      </c>
    </row>
    <row r="126" spans="1:12" x14ac:dyDescent="0.2">
      <c r="A126" s="69">
        <v>45507</v>
      </c>
      <c r="B126" s="23">
        <v>633</v>
      </c>
      <c r="C126" s="23">
        <v>1530</v>
      </c>
      <c r="D126" s="23">
        <v>2163</v>
      </c>
      <c r="E126" s="23">
        <v>2233</v>
      </c>
      <c r="F126" s="23">
        <v>0</v>
      </c>
      <c r="G126" s="23">
        <v>-70</v>
      </c>
      <c r="H126" s="23">
        <v>892</v>
      </c>
      <c r="I126" s="23">
        <v>637</v>
      </c>
      <c r="J126" s="23">
        <v>0</v>
      </c>
      <c r="K126" s="23">
        <v>0</v>
      </c>
      <c r="L126" s="32" t="s">
        <v>260</v>
      </c>
    </row>
    <row r="127" spans="1:12" x14ac:dyDescent="0.2">
      <c r="A127" s="69">
        <v>45508</v>
      </c>
      <c r="B127" s="23">
        <v>633</v>
      </c>
      <c r="C127" s="23">
        <v>1445</v>
      </c>
      <c r="D127" s="23">
        <v>2079</v>
      </c>
      <c r="E127" s="23">
        <v>2233</v>
      </c>
      <c r="F127" s="23">
        <v>0</v>
      </c>
      <c r="G127" s="23">
        <v>-154</v>
      </c>
      <c r="H127" s="23">
        <v>855</v>
      </c>
      <c r="I127" s="23">
        <v>590</v>
      </c>
      <c r="J127" s="23">
        <v>0</v>
      </c>
      <c r="K127" s="23">
        <v>0</v>
      </c>
      <c r="L127" s="32" t="s">
        <v>261</v>
      </c>
    </row>
    <row r="128" spans="1:12" x14ac:dyDescent="0.2">
      <c r="A128" s="69">
        <v>45509</v>
      </c>
      <c r="B128" s="23">
        <v>444</v>
      </c>
      <c r="C128" s="23">
        <v>1512</v>
      </c>
      <c r="D128" s="23">
        <v>1955</v>
      </c>
      <c r="E128" s="23">
        <v>2233</v>
      </c>
      <c r="F128" s="23">
        <v>0</v>
      </c>
      <c r="G128" s="23">
        <v>-278</v>
      </c>
      <c r="H128" s="23">
        <v>980</v>
      </c>
      <c r="I128" s="23">
        <v>531</v>
      </c>
      <c r="J128" s="23">
        <v>0</v>
      </c>
      <c r="K128" s="23">
        <v>0</v>
      </c>
      <c r="L128" s="32" t="s">
        <v>262</v>
      </c>
    </row>
    <row r="129" spans="1:12" x14ac:dyDescent="0.2">
      <c r="A129" s="69">
        <v>45510</v>
      </c>
      <c r="B129" s="23">
        <v>444</v>
      </c>
      <c r="C129" s="23">
        <v>1557</v>
      </c>
      <c r="D129" s="23">
        <v>2001</v>
      </c>
      <c r="E129" s="23">
        <v>2233</v>
      </c>
      <c r="F129" s="23">
        <v>0</v>
      </c>
      <c r="G129" s="23">
        <v>-232</v>
      </c>
      <c r="H129" s="23">
        <v>1017</v>
      </c>
      <c r="I129" s="23">
        <v>540</v>
      </c>
      <c r="J129" s="23">
        <v>0</v>
      </c>
      <c r="K129" s="23">
        <v>0</v>
      </c>
      <c r="L129" s="32" t="s">
        <v>263</v>
      </c>
    </row>
    <row r="130" spans="1:12" x14ac:dyDescent="0.2">
      <c r="A130" s="69">
        <v>45511</v>
      </c>
      <c r="B130" s="23">
        <v>444</v>
      </c>
      <c r="C130" s="23">
        <v>1515</v>
      </c>
      <c r="D130" s="23">
        <v>1959</v>
      </c>
      <c r="E130" s="23">
        <v>2233</v>
      </c>
      <c r="F130" s="23">
        <v>0</v>
      </c>
      <c r="G130" s="23">
        <v>-274</v>
      </c>
      <c r="H130" s="23">
        <v>1001</v>
      </c>
      <c r="I130" s="23">
        <v>514</v>
      </c>
      <c r="J130" s="23">
        <v>0</v>
      </c>
      <c r="K130" s="23">
        <v>0</v>
      </c>
      <c r="L130" s="32" t="s">
        <v>264</v>
      </c>
    </row>
    <row r="131" spans="1:12" x14ac:dyDescent="0.2">
      <c r="A131" s="69">
        <v>45512</v>
      </c>
      <c r="B131" s="23">
        <v>444</v>
      </c>
      <c r="C131" s="23">
        <v>1708</v>
      </c>
      <c r="D131" s="23">
        <v>2152</v>
      </c>
      <c r="E131" s="23">
        <v>2233</v>
      </c>
      <c r="F131" s="23">
        <v>0</v>
      </c>
      <c r="G131" s="23">
        <v>-81</v>
      </c>
      <c r="H131" s="23">
        <v>1120</v>
      </c>
      <c r="I131" s="23">
        <v>589</v>
      </c>
      <c r="J131" s="23">
        <v>0</v>
      </c>
      <c r="K131" s="23">
        <v>0</v>
      </c>
      <c r="L131" s="32" t="s">
        <v>265</v>
      </c>
    </row>
    <row r="132" spans="1:12" x14ac:dyDescent="0.2">
      <c r="A132" s="69">
        <v>45513</v>
      </c>
      <c r="B132" s="23">
        <v>444</v>
      </c>
      <c r="C132" s="23">
        <v>1675</v>
      </c>
      <c r="D132" s="23">
        <v>2118</v>
      </c>
      <c r="E132" s="23">
        <v>2233</v>
      </c>
      <c r="F132" s="23">
        <v>0</v>
      </c>
      <c r="G132" s="23">
        <v>-115</v>
      </c>
      <c r="H132" s="23">
        <v>1104</v>
      </c>
      <c r="I132" s="23">
        <v>570</v>
      </c>
      <c r="J132" s="23">
        <v>0</v>
      </c>
      <c r="K132" s="23">
        <v>0</v>
      </c>
      <c r="L132" s="32" t="s">
        <v>266</v>
      </c>
    </row>
    <row r="133" spans="1:12" x14ac:dyDescent="0.2">
      <c r="A133" s="69">
        <v>45514</v>
      </c>
      <c r="B133" s="23">
        <v>444</v>
      </c>
      <c r="C133" s="23">
        <v>1679</v>
      </c>
      <c r="D133" s="23">
        <v>2122</v>
      </c>
      <c r="E133" s="23">
        <v>2233</v>
      </c>
      <c r="F133" s="23">
        <v>0</v>
      </c>
      <c r="G133" s="23">
        <v>-111</v>
      </c>
      <c r="H133" s="23">
        <v>1106</v>
      </c>
      <c r="I133" s="23">
        <v>573</v>
      </c>
      <c r="J133" s="23">
        <v>0</v>
      </c>
      <c r="K133" s="23">
        <v>0</v>
      </c>
      <c r="L133" s="32" t="s">
        <v>267</v>
      </c>
    </row>
    <row r="134" spans="1:12" x14ac:dyDescent="0.2">
      <c r="A134" s="69">
        <v>45515</v>
      </c>
      <c r="B134" s="23">
        <v>444</v>
      </c>
      <c r="C134" s="23">
        <v>1627</v>
      </c>
      <c r="D134" s="23">
        <v>2070</v>
      </c>
      <c r="E134" s="23">
        <v>2233</v>
      </c>
      <c r="F134" s="23">
        <v>0</v>
      </c>
      <c r="G134" s="23">
        <v>-163</v>
      </c>
      <c r="H134" s="23">
        <v>1066</v>
      </c>
      <c r="I134" s="23">
        <v>561</v>
      </c>
      <c r="J134" s="23">
        <v>0</v>
      </c>
      <c r="K134" s="23">
        <v>0</v>
      </c>
      <c r="L134" s="32" t="s">
        <v>268</v>
      </c>
    </row>
    <row r="135" spans="1:12" x14ac:dyDescent="0.2">
      <c r="A135" s="69">
        <v>45516</v>
      </c>
      <c r="B135" s="23">
        <v>444</v>
      </c>
      <c r="C135" s="23">
        <v>1675</v>
      </c>
      <c r="D135" s="23">
        <v>2118</v>
      </c>
      <c r="E135" s="23">
        <v>2233</v>
      </c>
      <c r="F135" s="23">
        <v>0</v>
      </c>
      <c r="G135" s="23">
        <v>-115</v>
      </c>
      <c r="H135" s="23">
        <v>1077</v>
      </c>
      <c r="I135" s="23">
        <v>598</v>
      </c>
      <c r="J135" s="23">
        <v>0</v>
      </c>
      <c r="K135" s="23">
        <v>0</v>
      </c>
      <c r="L135" s="32" t="s">
        <v>269</v>
      </c>
    </row>
    <row r="136" spans="1:12" x14ac:dyDescent="0.2">
      <c r="A136" s="69">
        <v>45517</v>
      </c>
      <c r="B136" s="23">
        <v>444</v>
      </c>
      <c r="C136" s="23">
        <v>1693</v>
      </c>
      <c r="D136" s="23">
        <v>2137</v>
      </c>
      <c r="E136" s="23">
        <v>2233</v>
      </c>
      <c r="F136" s="23">
        <v>0</v>
      </c>
      <c r="G136" s="23">
        <v>-96</v>
      </c>
      <c r="H136" s="23">
        <v>1100</v>
      </c>
      <c r="I136" s="23">
        <v>593</v>
      </c>
      <c r="J136" s="23">
        <v>0</v>
      </c>
      <c r="K136" s="23">
        <v>0</v>
      </c>
      <c r="L136" s="32" t="s">
        <v>270</v>
      </c>
    </row>
    <row r="137" spans="1:12" x14ac:dyDescent="0.2">
      <c r="A137" s="69">
        <v>45518</v>
      </c>
      <c r="B137" s="23">
        <v>444</v>
      </c>
      <c r="C137" s="23">
        <v>1649</v>
      </c>
      <c r="D137" s="23">
        <v>2093</v>
      </c>
      <c r="E137" s="23">
        <v>2233</v>
      </c>
      <c r="F137" s="23">
        <v>0</v>
      </c>
      <c r="G137" s="23">
        <v>-140</v>
      </c>
      <c r="H137" s="23">
        <v>1065</v>
      </c>
      <c r="I137" s="23">
        <v>584</v>
      </c>
      <c r="J137" s="23">
        <v>0</v>
      </c>
      <c r="K137" s="23">
        <v>0</v>
      </c>
      <c r="L137" s="32" t="s">
        <v>271</v>
      </c>
    </row>
    <row r="138" spans="1:12" x14ac:dyDescent="0.2">
      <c r="A138" s="69">
        <v>45519</v>
      </c>
      <c r="B138" s="23">
        <v>444</v>
      </c>
      <c r="C138" s="23">
        <v>1609</v>
      </c>
      <c r="D138" s="23">
        <v>2052</v>
      </c>
      <c r="E138" s="23">
        <v>2233</v>
      </c>
      <c r="F138" s="23">
        <v>0</v>
      </c>
      <c r="G138" s="23">
        <v>-181</v>
      </c>
      <c r="H138" s="23">
        <v>1044</v>
      </c>
      <c r="I138" s="23">
        <v>564</v>
      </c>
      <c r="J138" s="23">
        <v>0</v>
      </c>
      <c r="K138" s="23">
        <v>0</v>
      </c>
      <c r="L138" s="32" t="s">
        <v>272</v>
      </c>
    </row>
    <row r="139" spans="1:12" x14ac:dyDescent="0.2">
      <c r="A139" s="69">
        <v>45520</v>
      </c>
      <c r="B139" s="23">
        <v>444</v>
      </c>
      <c r="C139" s="23">
        <v>1638</v>
      </c>
      <c r="D139" s="23">
        <v>2081</v>
      </c>
      <c r="E139" s="23">
        <v>2233</v>
      </c>
      <c r="F139" s="23">
        <v>0</v>
      </c>
      <c r="G139" s="23">
        <v>-152</v>
      </c>
      <c r="H139" s="23">
        <v>1069</v>
      </c>
      <c r="I139" s="23">
        <v>569</v>
      </c>
      <c r="J139" s="23">
        <v>0</v>
      </c>
      <c r="K139" s="23">
        <v>0</v>
      </c>
      <c r="L139" s="32" t="s">
        <v>273</v>
      </c>
    </row>
    <row r="140" spans="1:12" x14ac:dyDescent="0.2">
      <c r="A140" s="69">
        <v>45521</v>
      </c>
      <c r="B140" s="23">
        <v>444</v>
      </c>
      <c r="C140" s="23">
        <v>1654</v>
      </c>
      <c r="D140" s="23">
        <v>2097</v>
      </c>
      <c r="E140" s="23">
        <v>2233</v>
      </c>
      <c r="F140" s="23">
        <v>0</v>
      </c>
      <c r="G140" s="23">
        <v>-136</v>
      </c>
      <c r="H140" s="23">
        <v>1080</v>
      </c>
      <c r="I140" s="23">
        <v>574</v>
      </c>
      <c r="J140" s="23">
        <v>0</v>
      </c>
      <c r="K140" s="23">
        <v>0</v>
      </c>
      <c r="L140" s="32" t="s">
        <v>274</v>
      </c>
    </row>
    <row r="141" spans="1:12" x14ac:dyDescent="0.2">
      <c r="A141" s="69">
        <v>45522</v>
      </c>
      <c r="B141" s="23">
        <v>444</v>
      </c>
      <c r="C141" s="23">
        <v>1634</v>
      </c>
      <c r="D141" s="23">
        <v>2077</v>
      </c>
      <c r="E141" s="23">
        <v>2233</v>
      </c>
      <c r="F141" s="23">
        <v>0</v>
      </c>
      <c r="G141" s="23">
        <v>-156</v>
      </c>
      <c r="H141" s="23">
        <v>1060</v>
      </c>
      <c r="I141" s="23">
        <v>573</v>
      </c>
      <c r="J141" s="23">
        <v>0</v>
      </c>
      <c r="K141" s="23">
        <v>0</v>
      </c>
      <c r="L141" s="32" t="s">
        <v>275</v>
      </c>
    </row>
    <row r="142" spans="1:12" x14ac:dyDescent="0.2">
      <c r="A142" s="69">
        <v>45523</v>
      </c>
      <c r="B142" s="23">
        <v>444</v>
      </c>
      <c r="C142" s="23">
        <v>1658</v>
      </c>
      <c r="D142" s="23">
        <v>2101</v>
      </c>
      <c r="E142" s="23">
        <v>2233</v>
      </c>
      <c r="F142" s="23">
        <v>0</v>
      </c>
      <c r="G142" s="23">
        <v>-132</v>
      </c>
      <c r="H142" s="23">
        <v>1079</v>
      </c>
      <c r="I142" s="23">
        <v>579</v>
      </c>
      <c r="J142" s="23">
        <v>0</v>
      </c>
      <c r="K142" s="23">
        <v>0</v>
      </c>
      <c r="L142" s="32" t="s">
        <v>276</v>
      </c>
    </row>
    <row r="143" spans="1:12" x14ac:dyDescent="0.2">
      <c r="A143" s="69">
        <v>45524</v>
      </c>
      <c r="B143" s="23">
        <v>444</v>
      </c>
      <c r="C143" s="23">
        <v>1636</v>
      </c>
      <c r="D143" s="23">
        <v>2079</v>
      </c>
      <c r="E143" s="23">
        <v>2233</v>
      </c>
      <c r="F143" s="23">
        <v>0</v>
      </c>
      <c r="G143" s="23">
        <v>-154</v>
      </c>
      <c r="H143" s="23">
        <v>1071</v>
      </c>
      <c r="I143" s="23">
        <v>565</v>
      </c>
      <c r="J143" s="23">
        <v>0</v>
      </c>
      <c r="K143" s="23">
        <v>0</v>
      </c>
      <c r="L143" s="32" t="s">
        <v>277</v>
      </c>
    </row>
    <row r="144" spans="1:12" x14ac:dyDescent="0.2">
      <c r="A144" s="69">
        <v>45525</v>
      </c>
      <c r="B144" s="23">
        <v>444</v>
      </c>
      <c r="C144" s="23">
        <v>1687</v>
      </c>
      <c r="D144" s="23">
        <v>2131</v>
      </c>
      <c r="E144" s="23">
        <v>2233</v>
      </c>
      <c r="F144" s="23">
        <v>0</v>
      </c>
      <c r="G144" s="23">
        <v>-102</v>
      </c>
      <c r="H144" s="23">
        <v>1110</v>
      </c>
      <c r="I144" s="23">
        <v>577</v>
      </c>
      <c r="J144" s="23">
        <v>0</v>
      </c>
      <c r="K144" s="23">
        <v>0</v>
      </c>
      <c r="L144" s="32" t="s">
        <v>278</v>
      </c>
    </row>
    <row r="145" spans="1:12" x14ac:dyDescent="0.2">
      <c r="A145" s="69">
        <v>45526</v>
      </c>
      <c r="B145" s="23">
        <v>444</v>
      </c>
      <c r="C145" s="23">
        <v>1672</v>
      </c>
      <c r="D145" s="23">
        <v>2115</v>
      </c>
      <c r="E145" s="23">
        <v>2233</v>
      </c>
      <c r="F145" s="23">
        <v>0</v>
      </c>
      <c r="G145" s="23">
        <v>-118</v>
      </c>
      <c r="H145" s="23">
        <v>1096</v>
      </c>
      <c r="I145" s="23">
        <v>576</v>
      </c>
      <c r="J145" s="23">
        <v>0</v>
      </c>
      <c r="K145" s="23">
        <v>0</v>
      </c>
      <c r="L145" s="32" t="s">
        <v>279</v>
      </c>
    </row>
    <row r="146" spans="1:12" x14ac:dyDescent="0.2">
      <c r="A146" s="69">
        <v>45527</v>
      </c>
      <c r="B146" s="23">
        <v>444</v>
      </c>
      <c r="C146" s="23">
        <v>1769</v>
      </c>
      <c r="D146" s="23">
        <v>2212</v>
      </c>
      <c r="E146" s="23">
        <v>2233</v>
      </c>
      <c r="F146" s="23">
        <v>0</v>
      </c>
      <c r="G146" s="23">
        <v>-21</v>
      </c>
      <c r="H146" s="23">
        <v>1162</v>
      </c>
      <c r="I146" s="23">
        <v>606</v>
      </c>
      <c r="J146" s="23">
        <v>0</v>
      </c>
      <c r="K146" s="23">
        <v>0</v>
      </c>
      <c r="L146" s="32" t="s">
        <v>280</v>
      </c>
    </row>
    <row r="147" spans="1:12" x14ac:dyDescent="0.2">
      <c r="A147" s="69">
        <v>45528</v>
      </c>
      <c r="B147" s="23">
        <v>444</v>
      </c>
      <c r="C147" s="23">
        <v>1772</v>
      </c>
      <c r="D147" s="23">
        <v>2216</v>
      </c>
      <c r="E147" s="23">
        <v>2233</v>
      </c>
      <c r="F147" s="23">
        <v>0</v>
      </c>
      <c r="G147" s="23">
        <v>-17</v>
      </c>
      <c r="H147" s="23">
        <v>1164</v>
      </c>
      <c r="I147" s="23">
        <v>608</v>
      </c>
      <c r="J147" s="23">
        <v>0</v>
      </c>
      <c r="K147" s="23">
        <v>0</v>
      </c>
      <c r="L147" s="32" t="s">
        <v>281</v>
      </c>
    </row>
    <row r="148" spans="1:12" x14ac:dyDescent="0.2">
      <c r="A148" s="69">
        <v>45529</v>
      </c>
      <c r="B148" s="23">
        <v>444</v>
      </c>
      <c r="C148" s="23">
        <v>1768</v>
      </c>
      <c r="D148" s="23">
        <v>2212</v>
      </c>
      <c r="E148" s="23">
        <v>2233</v>
      </c>
      <c r="F148" s="23">
        <v>0</v>
      </c>
      <c r="G148" s="23">
        <v>-21</v>
      </c>
      <c r="H148" s="23">
        <v>1166</v>
      </c>
      <c r="I148" s="23">
        <v>603</v>
      </c>
      <c r="J148" s="23">
        <v>0</v>
      </c>
      <c r="K148" s="23">
        <v>0</v>
      </c>
      <c r="L148" s="32" t="s">
        <v>282</v>
      </c>
    </row>
    <row r="149" spans="1:12" x14ac:dyDescent="0.2">
      <c r="A149" s="69">
        <v>45530</v>
      </c>
      <c r="B149" s="23">
        <v>444</v>
      </c>
      <c r="C149" s="23">
        <v>1729</v>
      </c>
      <c r="D149" s="23">
        <v>2172</v>
      </c>
      <c r="E149" s="23">
        <v>2233</v>
      </c>
      <c r="F149" s="23">
        <v>0</v>
      </c>
      <c r="G149" s="23">
        <v>-61</v>
      </c>
      <c r="H149" s="23">
        <v>1140</v>
      </c>
      <c r="I149" s="23">
        <v>588</v>
      </c>
      <c r="J149" s="23">
        <v>0</v>
      </c>
      <c r="K149" s="23">
        <v>0</v>
      </c>
      <c r="L149" s="32" t="s">
        <v>283</v>
      </c>
    </row>
    <row r="150" spans="1:12" x14ac:dyDescent="0.2">
      <c r="A150" s="69">
        <v>45531</v>
      </c>
      <c r="B150" s="23">
        <v>444</v>
      </c>
      <c r="C150" s="23">
        <v>1618</v>
      </c>
      <c r="D150" s="23">
        <v>2061</v>
      </c>
      <c r="E150" s="23">
        <v>2233</v>
      </c>
      <c r="F150" s="23">
        <v>0</v>
      </c>
      <c r="G150" s="23">
        <v>-172</v>
      </c>
      <c r="H150" s="23">
        <v>1078</v>
      </c>
      <c r="I150" s="23">
        <v>539</v>
      </c>
      <c r="J150" s="23">
        <v>0</v>
      </c>
      <c r="K150" s="23">
        <v>0</v>
      </c>
      <c r="L150" s="32" t="s">
        <v>284</v>
      </c>
    </row>
    <row r="151" spans="1:12" x14ac:dyDescent="0.2">
      <c r="A151" s="69">
        <v>45532</v>
      </c>
      <c r="B151" s="23">
        <v>444</v>
      </c>
      <c r="C151" s="23">
        <v>1626</v>
      </c>
      <c r="D151" s="23">
        <v>2070</v>
      </c>
      <c r="E151" s="23">
        <v>2233</v>
      </c>
      <c r="F151" s="23">
        <v>0</v>
      </c>
      <c r="G151" s="23">
        <v>-163</v>
      </c>
      <c r="H151" s="23">
        <v>1071</v>
      </c>
      <c r="I151" s="23">
        <v>555</v>
      </c>
      <c r="J151" s="23">
        <v>0</v>
      </c>
      <c r="K151" s="23">
        <v>0</v>
      </c>
      <c r="L151" s="32" t="s">
        <v>285</v>
      </c>
    </row>
    <row r="152" spans="1:12" x14ac:dyDescent="0.2">
      <c r="A152" s="69">
        <v>45533</v>
      </c>
      <c r="B152" s="23">
        <v>444</v>
      </c>
      <c r="C152" s="23">
        <v>1632</v>
      </c>
      <c r="D152" s="23">
        <v>2076</v>
      </c>
      <c r="E152" s="23">
        <v>2233</v>
      </c>
      <c r="F152" s="23">
        <v>0</v>
      </c>
      <c r="G152" s="23">
        <v>-157</v>
      </c>
      <c r="H152" s="23">
        <v>1077</v>
      </c>
      <c r="I152" s="23">
        <v>555</v>
      </c>
      <c r="J152" s="23">
        <v>0</v>
      </c>
      <c r="K152" s="23">
        <v>0</v>
      </c>
      <c r="L152" s="32" t="s">
        <v>286</v>
      </c>
    </row>
    <row r="153" spans="1:12" x14ac:dyDescent="0.2">
      <c r="A153" s="69">
        <v>45534</v>
      </c>
      <c r="B153" s="23">
        <v>444</v>
      </c>
      <c r="C153" s="23">
        <v>1628</v>
      </c>
      <c r="D153" s="23">
        <v>2071</v>
      </c>
      <c r="E153" s="23">
        <v>2233</v>
      </c>
      <c r="F153" s="23">
        <v>0</v>
      </c>
      <c r="G153" s="23">
        <v>-162</v>
      </c>
      <c r="H153" s="23">
        <v>1073</v>
      </c>
      <c r="I153" s="23">
        <v>555</v>
      </c>
      <c r="J153" s="23">
        <v>0</v>
      </c>
      <c r="K153" s="23">
        <v>0</v>
      </c>
      <c r="L153" s="32" t="s">
        <v>287</v>
      </c>
    </row>
    <row r="154" spans="1:12" x14ac:dyDescent="0.2">
      <c r="A154" s="69">
        <v>45535</v>
      </c>
      <c r="B154" s="23">
        <v>444</v>
      </c>
      <c r="C154" s="23">
        <v>1622</v>
      </c>
      <c r="D154" s="23">
        <v>2066</v>
      </c>
      <c r="E154" s="23">
        <v>2233</v>
      </c>
      <c r="F154" s="23">
        <v>0</v>
      </c>
      <c r="G154" s="23">
        <v>-167</v>
      </c>
      <c r="H154" s="23">
        <v>1070</v>
      </c>
      <c r="I154" s="23">
        <v>552</v>
      </c>
      <c r="J154" s="23">
        <v>0</v>
      </c>
      <c r="K154" s="23">
        <v>0</v>
      </c>
      <c r="L154" s="32" t="s">
        <v>288</v>
      </c>
    </row>
    <row r="155" spans="1:12" x14ac:dyDescent="0.2">
      <c r="A155" s="69">
        <v>45536</v>
      </c>
      <c r="B155" s="23">
        <v>444</v>
      </c>
      <c r="C155" s="23">
        <v>1573</v>
      </c>
      <c r="D155" s="23">
        <v>2016</v>
      </c>
      <c r="E155" s="23">
        <v>2233</v>
      </c>
      <c r="F155" s="23">
        <v>0</v>
      </c>
      <c r="G155" s="23">
        <v>-217</v>
      </c>
      <c r="H155" s="23">
        <v>1040</v>
      </c>
      <c r="I155" s="23">
        <v>532</v>
      </c>
      <c r="J155" s="23">
        <v>0</v>
      </c>
      <c r="K155" s="23">
        <v>0</v>
      </c>
      <c r="L155" s="32" t="s">
        <v>289</v>
      </c>
    </row>
    <row r="156" spans="1:12" x14ac:dyDescent="0.2">
      <c r="A156" s="69">
        <v>45537</v>
      </c>
      <c r="B156" s="23">
        <v>444</v>
      </c>
      <c r="C156" s="23">
        <v>1630</v>
      </c>
      <c r="D156" s="23">
        <v>2074</v>
      </c>
      <c r="E156" s="23">
        <v>2233</v>
      </c>
      <c r="F156" s="23">
        <v>0</v>
      </c>
      <c r="G156" s="23">
        <v>-159</v>
      </c>
      <c r="H156" s="23">
        <v>1073</v>
      </c>
      <c r="I156" s="23">
        <v>557</v>
      </c>
      <c r="J156" s="23">
        <v>0</v>
      </c>
      <c r="K156" s="23">
        <v>0</v>
      </c>
      <c r="L156" s="32" t="s">
        <v>290</v>
      </c>
    </row>
    <row r="157" spans="1:12" x14ac:dyDescent="0.2">
      <c r="A157" s="69">
        <v>45538</v>
      </c>
      <c r="B157" s="23">
        <v>444</v>
      </c>
      <c r="C157" s="23">
        <v>1576</v>
      </c>
      <c r="D157" s="23">
        <v>2019</v>
      </c>
      <c r="E157" s="23">
        <v>2233</v>
      </c>
      <c r="F157" s="23">
        <v>0</v>
      </c>
      <c r="G157" s="23">
        <v>-214</v>
      </c>
      <c r="H157" s="23">
        <v>1043</v>
      </c>
      <c r="I157" s="23">
        <v>532</v>
      </c>
      <c r="J157" s="23">
        <v>0</v>
      </c>
      <c r="K157" s="23">
        <v>0</v>
      </c>
      <c r="L157" s="32" t="s">
        <v>291</v>
      </c>
    </row>
    <row r="158" spans="1:12" x14ac:dyDescent="0.2">
      <c r="A158" s="69">
        <v>45539</v>
      </c>
      <c r="B158" s="23">
        <v>444</v>
      </c>
      <c r="C158" s="23">
        <v>1590</v>
      </c>
      <c r="D158" s="23">
        <v>2034</v>
      </c>
      <c r="E158" s="23">
        <v>2233</v>
      </c>
      <c r="F158" s="23">
        <v>0</v>
      </c>
      <c r="G158" s="23">
        <v>-199</v>
      </c>
      <c r="H158" s="23">
        <v>1052</v>
      </c>
      <c r="I158" s="23">
        <v>538</v>
      </c>
      <c r="J158" s="23">
        <v>0</v>
      </c>
      <c r="K158" s="23">
        <v>0</v>
      </c>
      <c r="L158" s="32" t="s">
        <v>292</v>
      </c>
    </row>
    <row r="159" spans="1:12" x14ac:dyDescent="0.2">
      <c r="A159" s="69">
        <v>45540</v>
      </c>
      <c r="B159" s="23">
        <v>444</v>
      </c>
      <c r="C159" s="23">
        <v>1540</v>
      </c>
      <c r="D159" s="23">
        <v>1983</v>
      </c>
      <c r="E159" s="23">
        <v>2233</v>
      </c>
      <c r="F159" s="23">
        <v>0</v>
      </c>
      <c r="G159" s="23">
        <v>-250</v>
      </c>
      <c r="H159" s="23">
        <v>1020</v>
      </c>
      <c r="I159" s="23">
        <v>520</v>
      </c>
      <c r="J159" s="23">
        <v>0</v>
      </c>
      <c r="K159" s="23">
        <v>0</v>
      </c>
      <c r="L159" s="32" t="s">
        <v>293</v>
      </c>
    </row>
    <row r="160" spans="1:12" x14ac:dyDescent="0.2">
      <c r="A160" s="69">
        <v>45541</v>
      </c>
      <c r="B160" s="23">
        <v>936</v>
      </c>
      <c r="C160" s="23">
        <v>1767</v>
      </c>
      <c r="D160" s="23">
        <v>2703</v>
      </c>
      <c r="E160" s="23">
        <v>3025</v>
      </c>
      <c r="F160" s="23">
        <v>0</v>
      </c>
      <c r="G160" s="23">
        <v>-322</v>
      </c>
      <c r="H160" s="23">
        <v>1279</v>
      </c>
      <c r="I160" s="23">
        <v>488</v>
      </c>
      <c r="J160" s="23">
        <v>0</v>
      </c>
      <c r="K160" s="23">
        <v>0</v>
      </c>
      <c r="L160" s="32" t="s">
        <v>294</v>
      </c>
    </row>
    <row r="161" spans="1:12" x14ac:dyDescent="0.2">
      <c r="A161" s="69">
        <v>45542</v>
      </c>
      <c r="B161" s="23">
        <v>636</v>
      </c>
      <c r="C161" s="23">
        <v>2093</v>
      </c>
      <c r="D161" s="23">
        <v>2729</v>
      </c>
      <c r="E161" s="23">
        <v>3025</v>
      </c>
      <c r="F161" s="23">
        <v>0</v>
      </c>
      <c r="G161" s="23">
        <v>-296</v>
      </c>
      <c r="H161" s="23">
        <v>1284</v>
      </c>
      <c r="I161" s="23">
        <v>809</v>
      </c>
      <c r="J161" s="23">
        <v>0</v>
      </c>
      <c r="K161" s="23">
        <v>0</v>
      </c>
      <c r="L161" s="32" t="s">
        <v>295</v>
      </c>
    </row>
    <row r="162" spans="1:12" x14ac:dyDescent="0.2">
      <c r="A162" s="69">
        <v>45543</v>
      </c>
      <c r="B162" s="23">
        <v>636</v>
      </c>
      <c r="C162" s="23">
        <v>2118</v>
      </c>
      <c r="D162" s="23">
        <v>2754</v>
      </c>
      <c r="E162" s="23">
        <v>3025</v>
      </c>
      <c r="F162" s="23">
        <v>0</v>
      </c>
      <c r="G162" s="23">
        <v>-271</v>
      </c>
      <c r="H162" s="23">
        <v>1300</v>
      </c>
      <c r="I162" s="23">
        <v>817</v>
      </c>
      <c r="J162" s="23">
        <v>0</v>
      </c>
      <c r="K162" s="23">
        <v>0</v>
      </c>
      <c r="L162" s="32" t="s">
        <v>296</v>
      </c>
    </row>
    <row r="163" spans="1:12" x14ac:dyDescent="0.2">
      <c r="A163" s="69">
        <v>45544</v>
      </c>
      <c r="B163" s="23">
        <v>636</v>
      </c>
      <c r="C163" s="23">
        <v>2191</v>
      </c>
      <c r="D163" s="23">
        <v>2828</v>
      </c>
      <c r="E163" s="23">
        <v>3025</v>
      </c>
      <c r="F163" s="23">
        <v>0</v>
      </c>
      <c r="G163" s="23">
        <v>-197</v>
      </c>
      <c r="H163" s="23">
        <v>1352</v>
      </c>
      <c r="I163" s="23">
        <v>840</v>
      </c>
      <c r="J163" s="23">
        <v>0</v>
      </c>
      <c r="K163" s="23">
        <v>0</v>
      </c>
      <c r="L163" s="32" t="s">
        <v>297</v>
      </c>
    </row>
    <row r="164" spans="1:12" x14ac:dyDescent="0.2">
      <c r="A164" s="69">
        <v>45545</v>
      </c>
      <c r="B164" s="23">
        <v>636</v>
      </c>
      <c r="C164" s="23">
        <v>2216</v>
      </c>
      <c r="D164" s="23">
        <v>2852</v>
      </c>
      <c r="E164" s="23">
        <v>3025</v>
      </c>
      <c r="F164" s="23">
        <v>0</v>
      </c>
      <c r="G164" s="23">
        <v>-173</v>
      </c>
      <c r="H164" s="23">
        <v>1366</v>
      </c>
      <c r="I164" s="23">
        <v>850</v>
      </c>
      <c r="J164" s="23">
        <v>0</v>
      </c>
      <c r="K164" s="23">
        <v>0</v>
      </c>
      <c r="L164" s="32" t="s">
        <v>298</v>
      </c>
    </row>
    <row r="165" spans="1:12" x14ac:dyDescent="0.2">
      <c r="A165" s="69">
        <v>45546</v>
      </c>
      <c r="B165" s="23">
        <v>636</v>
      </c>
      <c r="C165" s="23">
        <v>2192</v>
      </c>
      <c r="D165" s="23">
        <v>2828</v>
      </c>
      <c r="E165" s="23">
        <v>3025</v>
      </c>
      <c r="F165" s="23">
        <v>0</v>
      </c>
      <c r="G165" s="23">
        <v>-197</v>
      </c>
      <c r="H165" s="23">
        <v>1359</v>
      </c>
      <c r="I165" s="23">
        <v>833</v>
      </c>
      <c r="J165" s="23">
        <v>0</v>
      </c>
      <c r="K165" s="23">
        <v>0</v>
      </c>
      <c r="L165" s="32" t="s">
        <v>299</v>
      </c>
    </row>
    <row r="166" spans="1:12" x14ac:dyDescent="0.2">
      <c r="A166" s="69">
        <v>45547</v>
      </c>
      <c r="B166" s="23">
        <v>636</v>
      </c>
      <c r="C166" s="23">
        <v>2218</v>
      </c>
      <c r="D166" s="23">
        <v>2854</v>
      </c>
      <c r="E166" s="23">
        <v>3025</v>
      </c>
      <c r="F166" s="23">
        <v>0</v>
      </c>
      <c r="G166" s="23">
        <v>-171</v>
      </c>
      <c r="H166" s="23">
        <v>1378</v>
      </c>
      <c r="I166" s="23">
        <v>840</v>
      </c>
      <c r="J166" s="23">
        <v>0</v>
      </c>
      <c r="K166" s="23">
        <v>0</v>
      </c>
      <c r="L166" s="32" t="s">
        <v>300</v>
      </c>
    </row>
    <row r="167" spans="1:12" x14ac:dyDescent="0.2">
      <c r="A167" s="69">
        <v>45548</v>
      </c>
      <c r="B167" s="23">
        <v>636</v>
      </c>
      <c r="C167" s="23">
        <v>2302</v>
      </c>
      <c r="D167" s="23">
        <v>2938</v>
      </c>
      <c r="E167" s="23">
        <v>3025</v>
      </c>
      <c r="F167" s="23">
        <v>0</v>
      </c>
      <c r="G167" s="23">
        <v>-87</v>
      </c>
      <c r="H167" s="23">
        <v>1434</v>
      </c>
      <c r="I167" s="23">
        <v>868</v>
      </c>
      <c r="J167" s="23">
        <v>0</v>
      </c>
      <c r="K167" s="23">
        <v>0</v>
      </c>
      <c r="L167" s="32" t="s">
        <v>301</v>
      </c>
    </row>
    <row r="168" spans="1:12" x14ac:dyDescent="0.2">
      <c r="A168" s="69">
        <v>45549</v>
      </c>
      <c r="B168" s="23">
        <v>636</v>
      </c>
      <c r="C168" s="23">
        <v>2282</v>
      </c>
      <c r="D168" s="23">
        <v>2918</v>
      </c>
      <c r="E168" s="23">
        <v>3025</v>
      </c>
      <c r="F168" s="23">
        <v>0</v>
      </c>
      <c r="G168" s="23">
        <v>-107</v>
      </c>
      <c r="H168" s="23">
        <v>1422</v>
      </c>
      <c r="I168" s="23">
        <v>860</v>
      </c>
      <c r="J168" s="23">
        <v>0</v>
      </c>
      <c r="K168" s="23">
        <v>0</v>
      </c>
      <c r="L168" s="32" t="s">
        <v>302</v>
      </c>
    </row>
    <row r="169" spans="1:12" x14ac:dyDescent="0.2">
      <c r="A169" s="69">
        <v>45550</v>
      </c>
      <c r="B169" s="23">
        <v>636</v>
      </c>
      <c r="C169" s="23">
        <v>2226</v>
      </c>
      <c r="D169" s="23">
        <v>2862</v>
      </c>
      <c r="E169" s="23">
        <v>3025</v>
      </c>
      <c r="F169" s="23">
        <v>0</v>
      </c>
      <c r="G169" s="23">
        <v>-163</v>
      </c>
      <c r="H169" s="23">
        <v>1401</v>
      </c>
      <c r="I169" s="23">
        <v>824</v>
      </c>
      <c r="J169" s="23">
        <v>0</v>
      </c>
      <c r="K169" s="23">
        <v>0</v>
      </c>
      <c r="L169" s="32" t="s">
        <v>303</v>
      </c>
    </row>
    <row r="170" spans="1:12" x14ac:dyDescent="0.2">
      <c r="A170" s="69">
        <v>45551</v>
      </c>
      <c r="B170" s="23">
        <v>636</v>
      </c>
      <c r="C170" s="23">
        <v>2197</v>
      </c>
      <c r="D170" s="23">
        <v>2833</v>
      </c>
      <c r="E170" s="23">
        <v>3025</v>
      </c>
      <c r="F170" s="23">
        <v>0</v>
      </c>
      <c r="G170" s="23">
        <v>-192</v>
      </c>
      <c r="H170" s="23">
        <v>1380</v>
      </c>
      <c r="I170" s="23">
        <v>817</v>
      </c>
      <c r="J170" s="23">
        <v>0</v>
      </c>
      <c r="K170" s="23">
        <v>0</v>
      </c>
      <c r="L170" s="32" t="s">
        <v>304</v>
      </c>
    </row>
    <row r="171" spans="1:12" x14ac:dyDescent="0.2">
      <c r="A171" s="69">
        <v>45552</v>
      </c>
      <c r="B171" s="23">
        <v>636</v>
      </c>
      <c r="C171" s="23">
        <v>2263</v>
      </c>
      <c r="D171" s="23">
        <v>2899</v>
      </c>
      <c r="E171" s="23">
        <v>3025</v>
      </c>
      <c r="F171" s="23">
        <v>0</v>
      </c>
      <c r="G171" s="23">
        <v>-126</v>
      </c>
      <c r="H171" s="23">
        <v>1429</v>
      </c>
      <c r="I171" s="23">
        <v>833</v>
      </c>
      <c r="J171" s="23">
        <v>0</v>
      </c>
      <c r="K171" s="23">
        <v>0</v>
      </c>
      <c r="L171" s="32" t="s">
        <v>305</v>
      </c>
    </row>
    <row r="172" spans="1:12" x14ac:dyDescent="0.2">
      <c r="A172" s="69">
        <v>45553</v>
      </c>
      <c r="B172" s="23">
        <v>636</v>
      </c>
      <c r="C172" s="23">
        <v>2309</v>
      </c>
      <c r="D172" s="23">
        <v>2945</v>
      </c>
      <c r="E172" s="23">
        <v>3025</v>
      </c>
      <c r="F172" s="23">
        <v>0</v>
      </c>
      <c r="G172" s="23">
        <v>-80</v>
      </c>
      <c r="H172" s="23">
        <v>1464</v>
      </c>
      <c r="I172" s="23">
        <v>845</v>
      </c>
      <c r="J172" s="23">
        <v>0</v>
      </c>
      <c r="K172" s="23">
        <v>0</v>
      </c>
      <c r="L172" s="32" t="s">
        <v>306</v>
      </c>
    </row>
    <row r="173" spans="1:12" x14ac:dyDescent="0.2">
      <c r="A173" s="69">
        <v>45554</v>
      </c>
      <c r="B173" s="23">
        <v>636</v>
      </c>
      <c r="C173" s="23">
        <v>2369</v>
      </c>
      <c r="D173" s="23">
        <v>3005</v>
      </c>
      <c r="E173" s="23">
        <v>3025</v>
      </c>
      <c r="F173" s="23">
        <v>0</v>
      </c>
      <c r="G173" s="23">
        <v>-20</v>
      </c>
      <c r="H173" s="23">
        <v>1492</v>
      </c>
      <c r="I173" s="23">
        <v>877</v>
      </c>
      <c r="J173" s="23">
        <v>0</v>
      </c>
      <c r="K173" s="23">
        <v>0</v>
      </c>
      <c r="L173" s="32" t="s">
        <v>307</v>
      </c>
    </row>
    <row r="174" spans="1:12" x14ac:dyDescent="0.2">
      <c r="A174" s="69">
        <v>45555</v>
      </c>
      <c r="B174" s="23">
        <v>636</v>
      </c>
      <c r="C174" s="23">
        <v>2409</v>
      </c>
      <c r="D174" s="23">
        <v>3045</v>
      </c>
      <c r="E174" s="23">
        <v>3025</v>
      </c>
      <c r="F174" s="23">
        <v>0</v>
      </c>
      <c r="G174" s="23">
        <v>20</v>
      </c>
      <c r="H174" s="23">
        <v>1498</v>
      </c>
      <c r="I174" s="23">
        <v>911</v>
      </c>
      <c r="J174" s="23">
        <v>0</v>
      </c>
      <c r="K174" s="23">
        <v>0</v>
      </c>
      <c r="L174" s="32" t="s">
        <v>308</v>
      </c>
    </row>
    <row r="175" spans="1:12" x14ac:dyDescent="0.2">
      <c r="A175" s="69">
        <v>45556</v>
      </c>
      <c r="B175" s="23">
        <v>636</v>
      </c>
      <c r="C175" s="23">
        <v>2431</v>
      </c>
      <c r="D175" s="23">
        <v>3067</v>
      </c>
      <c r="E175" s="23">
        <v>3025</v>
      </c>
      <c r="F175" s="23">
        <v>0</v>
      </c>
      <c r="G175" s="23">
        <v>42</v>
      </c>
      <c r="H175" s="23">
        <v>1501</v>
      </c>
      <c r="I175" s="23">
        <v>930</v>
      </c>
      <c r="J175" s="23">
        <v>0</v>
      </c>
      <c r="K175" s="23">
        <v>0</v>
      </c>
      <c r="L175" s="32" t="s">
        <v>309</v>
      </c>
    </row>
    <row r="176" spans="1:12" x14ac:dyDescent="0.2">
      <c r="A176" s="69">
        <v>45557</v>
      </c>
      <c r="B176" s="23">
        <v>636</v>
      </c>
      <c r="C176" s="23">
        <v>2425</v>
      </c>
      <c r="D176" s="23">
        <v>3061</v>
      </c>
      <c r="E176" s="23">
        <v>3025</v>
      </c>
      <c r="F176" s="23">
        <v>0</v>
      </c>
      <c r="G176" s="23">
        <v>36</v>
      </c>
      <c r="H176" s="23">
        <v>1507</v>
      </c>
      <c r="I176" s="23">
        <v>918</v>
      </c>
      <c r="J176" s="23">
        <v>0</v>
      </c>
      <c r="K176" s="23">
        <v>0</v>
      </c>
      <c r="L176" s="32" t="s">
        <v>310</v>
      </c>
    </row>
    <row r="177" spans="1:12" x14ac:dyDescent="0.2">
      <c r="A177" s="69">
        <v>45558</v>
      </c>
      <c r="B177" s="23">
        <v>636</v>
      </c>
      <c r="C177" s="23">
        <v>2443</v>
      </c>
      <c r="D177" s="23">
        <v>3079</v>
      </c>
      <c r="E177" s="23">
        <v>3025</v>
      </c>
      <c r="F177" s="23">
        <v>0</v>
      </c>
      <c r="G177" s="23">
        <v>54</v>
      </c>
      <c r="H177" s="23">
        <v>1501</v>
      </c>
      <c r="I177" s="23">
        <v>942</v>
      </c>
      <c r="J177" s="23">
        <v>0</v>
      </c>
      <c r="K177" s="23">
        <v>0</v>
      </c>
      <c r="L177" s="32" t="s">
        <v>311</v>
      </c>
    </row>
    <row r="178" spans="1:12" x14ac:dyDescent="0.2">
      <c r="A178" s="69">
        <v>45559</v>
      </c>
      <c r="B178" s="23">
        <v>636</v>
      </c>
      <c r="C178" s="23">
        <v>2467</v>
      </c>
      <c r="D178" s="23">
        <v>3103</v>
      </c>
      <c r="E178" s="23">
        <v>3025</v>
      </c>
      <c r="F178" s="23">
        <v>0</v>
      </c>
      <c r="G178" s="23">
        <v>78</v>
      </c>
      <c r="H178" s="23">
        <v>1523</v>
      </c>
      <c r="I178" s="23">
        <v>944</v>
      </c>
      <c r="J178" s="23">
        <v>0</v>
      </c>
      <c r="K178" s="23">
        <v>0</v>
      </c>
      <c r="L178" s="32" t="s">
        <v>312</v>
      </c>
    </row>
    <row r="179" spans="1:12" x14ac:dyDescent="0.2">
      <c r="A179" s="69">
        <v>45560</v>
      </c>
      <c r="B179" s="23">
        <v>636</v>
      </c>
      <c r="C179" s="23">
        <v>2415</v>
      </c>
      <c r="D179" s="23">
        <v>3051</v>
      </c>
      <c r="E179" s="23">
        <v>3025</v>
      </c>
      <c r="F179" s="23">
        <v>0</v>
      </c>
      <c r="G179" s="23">
        <v>26</v>
      </c>
      <c r="H179" s="23">
        <v>1497</v>
      </c>
      <c r="I179" s="23">
        <v>918</v>
      </c>
      <c r="J179" s="23">
        <v>0</v>
      </c>
      <c r="K179" s="23">
        <v>0</v>
      </c>
      <c r="L179" s="32" t="s">
        <v>313</v>
      </c>
    </row>
    <row r="180" spans="1:12" x14ac:dyDescent="0.2">
      <c r="A180" s="69">
        <v>45561</v>
      </c>
      <c r="B180" s="23">
        <v>636</v>
      </c>
      <c r="C180" s="23">
        <v>2481</v>
      </c>
      <c r="D180" s="23">
        <v>3117</v>
      </c>
      <c r="E180" s="23">
        <v>3025</v>
      </c>
      <c r="F180" s="23">
        <v>0</v>
      </c>
      <c r="G180" s="23">
        <v>92</v>
      </c>
      <c r="H180" s="23">
        <v>1545</v>
      </c>
      <c r="I180" s="23">
        <v>937</v>
      </c>
      <c r="J180" s="23">
        <v>0</v>
      </c>
      <c r="K180" s="23">
        <v>0</v>
      </c>
      <c r="L180" s="32" t="s">
        <v>314</v>
      </c>
    </row>
    <row r="181" spans="1:12" x14ac:dyDescent="0.2">
      <c r="A181" s="69">
        <v>45562</v>
      </c>
      <c r="B181" s="23">
        <v>636</v>
      </c>
      <c r="C181" s="23">
        <v>2517</v>
      </c>
      <c r="D181" s="23">
        <v>3154</v>
      </c>
      <c r="E181" s="23">
        <v>3025</v>
      </c>
      <c r="F181" s="23">
        <v>0</v>
      </c>
      <c r="G181" s="23">
        <v>129</v>
      </c>
      <c r="H181" s="23">
        <v>1559</v>
      </c>
      <c r="I181" s="23">
        <v>959</v>
      </c>
      <c r="J181" s="23">
        <v>0</v>
      </c>
      <c r="K181" s="23">
        <v>0</v>
      </c>
      <c r="L181" s="32" t="s">
        <v>315</v>
      </c>
    </row>
    <row r="182" spans="1:12" x14ac:dyDescent="0.2">
      <c r="A182" s="69">
        <v>45563</v>
      </c>
      <c r="B182" s="23">
        <v>636</v>
      </c>
      <c r="C182" s="23">
        <v>2513</v>
      </c>
      <c r="D182" s="23">
        <v>3149</v>
      </c>
      <c r="E182" s="23">
        <v>3025</v>
      </c>
      <c r="F182" s="23">
        <v>0</v>
      </c>
      <c r="G182" s="23">
        <v>124</v>
      </c>
      <c r="H182" s="23">
        <v>1561</v>
      </c>
      <c r="I182" s="23">
        <v>952</v>
      </c>
      <c r="J182" s="23">
        <v>0</v>
      </c>
      <c r="K182" s="23">
        <v>0</v>
      </c>
      <c r="L182" s="32" t="s">
        <v>316</v>
      </c>
    </row>
    <row r="183" spans="1:12" x14ac:dyDescent="0.2">
      <c r="A183" s="69">
        <v>45564</v>
      </c>
      <c r="B183" s="23">
        <v>636</v>
      </c>
      <c r="C183" s="23">
        <v>2500</v>
      </c>
      <c r="D183" s="23">
        <v>3136</v>
      </c>
      <c r="E183" s="23">
        <v>3025</v>
      </c>
      <c r="F183" s="23">
        <v>0</v>
      </c>
      <c r="G183" s="23">
        <v>111</v>
      </c>
      <c r="H183" s="23">
        <v>1555</v>
      </c>
      <c r="I183" s="23">
        <v>946</v>
      </c>
      <c r="J183" s="23">
        <v>0</v>
      </c>
      <c r="K183" s="23">
        <v>0</v>
      </c>
      <c r="L183" s="32" t="s">
        <v>317</v>
      </c>
    </row>
    <row r="184" spans="1:12" x14ac:dyDescent="0.2">
      <c r="A184" s="69">
        <v>45565</v>
      </c>
      <c r="B184" s="23">
        <v>636</v>
      </c>
      <c r="C184" s="23">
        <v>2427</v>
      </c>
      <c r="D184" s="23">
        <v>3063</v>
      </c>
      <c r="E184" s="23">
        <v>3025</v>
      </c>
      <c r="F184" s="23">
        <v>0</v>
      </c>
      <c r="G184" s="23">
        <v>38</v>
      </c>
      <c r="H184" s="23">
        <v>1501</v>
      </c>
      <c r="I184" s="23">
        <v>926</v>
      </c>
      <c r="J184" s="23">
        <v>0</v>
      </c>
      <c r="K184" s="23">
        <v>0</v>
      </c>
      <c r="L184" s="32" t="s">
        <v>318</v>
      </c>
    </row>
    <row r="185" spans="1:12" x14ac:dyDescent="0.2">
      <c r="A185" s="69">
        <v>45566</v>
      </c>
      <c r="B185" s="23">
        <v>636</v>
      </c>
      <c r="C185" s="23">
        <v>2312</v>
      </c>
      <c r="D185" s="23">
        <v>2948</v>
      </c>
      <c r="E185" s="23">
        <v>3025</v>
      </c>
      <c r="F185" s="23">
        <v>0</v>
      </c>
      <c r="G185" s="23">
        <v>-77</v>
      </c>
      <c r="H185" s="23">
        <v>1441</v>
      </c>
      <c r="I185" s="23">
        <v>871</v>
      </c>
      <c r="J185" s="23">
        <v>0</v>
      </c>
      <c r="K185" s="23">
        <v>0</v>
      </c>
      <c r="L185" s="32" t="s">
        <v>319</v>
      </c>
    </row>
    <row r="186" spans="1:12" x14ac:dyDescent="0.2">
      <c r="A186" s="69">
        <v>45567</v>
      </c>
      <c r="B186" s="23">
        <v>636</v>
      </c>
      <c r="C186" s="23">
        <v>2279</v>
      </c>
      <c r="D186" s="23">
        <v>2915</v>
      </c>
      <c r="E186" s="23">
        <v>3025</v>
      </c>
      <c r="F186" s="23">
        <v>0</v>
      </c>
      <c r="G186" s="23">
        <v>-110</v>
      </c>
      <c r="H186" s="23">
        <v>1437</v>
      </c>
      <c r="I186" s="23">
        <v>841</v>
      </c>
      <c r="J186" s="23">
        <v>0</v>
      </c>
      <c r="K186" s="23">
        <v>0</v>
      </c>
      <c r="L186" s="32" t="s">
        <v>320</v>
      </c>
    </row>
    <row r="187" spans="1:12" x14ac:dyDescent="0.2">
      <c r="A187" s="69">
        <v>45568</v>
      </c>
      <c r="B187" s="23">
        <v>636</v>
      </c>
      <c r="C187" s="23">
        <v>2276</v>
      </c>
      <c r="D187" s="23">
        <v>2912</v>
      </c>
      <c r="E187" s="23">
        <v>3025</v>
      </c>
      <c r="F187" s="23">
        <v>0</v>
      </c>
      <c r="G187" s="23">
        <v>-113</v>
      </c>
      <c r="H187" s="23">
        <v>1440</v>
      </c>
      <c r="I187" s="23">
        <v>836</v>
      </c>
      <c r="J187" s="23">
        <v>0</v>
      </c>
      <c r="K187" s="23">
        <v>0</v>
      </c>
      <c r="L187" s="32" t="s">
        <v>321</v>
      </c>
    </row>
    <row r="188" spans="1:12" x14ac:dyDescent="0.2">
      <c r="A188" s="69">
        <v>45569</v>
      </c>
      <c r="B188" s="23">
        <v>636</v>
      </c>
      <c r="C188" s="23">
        <v>2331</v>
      </c>
      <c r="D188" s="23">
        <v>2967</v>
      </c>
      <c r="E188" s="23">
        <v>3025</v>
      </c>
      <c r="F188" s="23">
        <v>0</v>
      </c>
      <c r="G188" s="23">
        <v>-58</v>
      </c>
      <c r="H188" s="23">
        <v>1471</v>
      </c>
      <c r="I188" s="23">
        <v>859</v>
      </c>
      <c r="J188" s="23">
        <v>0</v>
      </c>
      <c r="K188" s="23">
        <v>0</v>
      </c>
      <c r="L188" s="32" t="s">
        <v>322</v>
      </c>
    </row>
    <row r="189" spans="1:12" x14ac:dyDescent="0.2">
      <c r="A189" s="69">
        <v>45570</v>
      </c>
      <c r="B189" s="23">
        <v>636</v>
      </c>
      <c r="C189" s="23">
        <v>2330</v>
      </c>
      <c r="D189" s="23">
        <v>2966</v>
      </c>
      <c r="E189" s="23">
        <v>3025</v>
      </c>
      <c r="F189" s="23">
        <v>0</v>
      </c>
      <c r="G189" s="23">
        <v>-59</v>
      </c>
      <c r="H189" s="23">
        <v>1471</v>
      </c>
      <c r="I189" s="23">
        <v>859</v>
      </c>
      <c r="J189" s="23">
        <v>0</v>
      </c>
      <c r="K189" s="23">
        <v>0</v>
      </c>
      <c r="L189" s="32" t="s">
        <v>322</v>
      </c>
    </row>
    <row r="190" spans="1:12" x14ac:dyDescent="0.2">
      <c r="A190" s="69">
        <v>45571</v>
      </c>
      <c r="B190" s="23">
        <v>636</v>
      </c>
      <c r="C190" s="23">
        <v>2357</v>
      </c>
      <c r="D190" s="23">
        <v>2993</v>
      </c>
      <c r="E190" s="23">
        <v>3025</v>
      </c>
      <c r="F190" s="23">
        <v>0</v>
      </c>
      <c r="G190" s="23">
        <v>-32</v>
      </c>
      <c r="H190" s="23">
        <v>1489</v>
      </c>
      <c r="I190" s="23">
        <v>868</v>
      </c>
      <c r="J190" s="23">
        <v>0</v>
      </c>
      <c r="K190" s="23">
        <v>0</v>
      </c>
      <c r="L190" s="32" t="s">
        <v>323</v>
      </c>
    </row>
    <row r="191" spans="1:12" x14ac:dyDescent="0.2">
      <c r="A191" s="69">
        <v>45572</v>
      </c>
      <c r="B191" s="23">
        <v>636</v>
      </c>
      <c r="C191" s="23">
        <v>2337</v>
      </c>
      <c r="D191" s="23">
        <v>2973</v>
      </c>
      <c r="E191" s="23">
        <v>3025</v>
      </c>
      <c r="F191" s="23">
        <v>0</v>
      </c>
      <c r="G191" s="23">
        <v>-52</v>
      </c>
      <c r="H191" s="23">
        <v>1475</v>
      </c>
      <c r="I191" s="23">
        <v>862</v>
      </c>
      <c r="J191" s="23">
        <v>0</v>
      </c>
      <c r="K191" s="23">
        <v>0</v>
      </c>
      <c r="L191" s="32" t="s">
        <v>324</v>
      </c>
    </row>
    <row r="192" spans="1:12" x14ac:dyDescent="0.2">
      <c r="A192" s="69">
        <v>45573</v>
      </c>
      <c r="B192" s="23">
        <v>636</v>
      </c>
      <c r="C192" s="23">
        <v>2342</v>
      </c>
      <c r="D192" s="23">
        <v>2978</v>
      </c>
      <c r="E192" s="23">
        <v>3025</v>
      </c>
      <c r="F192" s="23">
        <v>0</v>
      </c>
      <c r="G192" s="23">
        <v>-47</v>
      </c>
      <c r="H192" s="23">
        <v>1473</v>
      </c>
      <c r="I192" s="23">
        <v>869</v>
      </c>
      <c r="J192" s="23">
        <v>0</v>
      </c>
      <c r="K192" s="23">
        <v>0</v>
      </c>
      <c r="L192" s="32" t="s">
        <v>325</v>
      </c>
    </row>
    <row r="193" spans="1:12" x14ac:dyDescent="0.2">
      <c r="A193" s="69">
        <v>45574</v>
      </c>
      <c r="B193" s="23">
        <v>636</v>
      </c>
      <c r="C193" s="23">
        <v>2281</v>
      </c>
      <c r="D193" s="23">
        <v>2917</v>
      </c>
      <c r="E193" s="23">
        <v>3025</v>
      </c>
      <c r="F193" s="23">
        <v>0</v>
      </c>
      <c r="G193" s="23">
        <v>-108</v>
      </c>
      <c r="H193" s="23">
        <v>1437</v>
      </c>
      <c r="I193" s="23">
        <v>843</v>
      </c>
      <c r="J193" s="23">
        <v>0</v>
      </c>
      <c r="K193" s="23">
        <v>0</v>
      </c>
      <c r="L193" s="32" t="s">
        <v>326</v>
      </c>
    </row>
    <row r="194" spans="1:12" x14ac:dyDescent="0.2">
      <c r="A194" s="69">
        <v>45575</v>
      </c>
      <c r="B194" s="23">
        <v>636</v>
      </c>
      <c r="C194" s="23">
        <v>2279</v>
      </c>
      <c r="D194" s="23">
        <v>2915</v>
      </c>
      <c r="E194" s="23">
        <v>3025</v>
      </c>
      <c r="F194" s="23">
        <v>0</v>
      </c>
      <c r="G194" s="23">
        <v>-110</v>
      </c>
      <c r="H194" s="23">
        <v>1430</v>
      </c>
      <c r="I194" s="23">
        <v>849</v>
      </c>
      <c r="J194" s="23">
        <v>0</v>
      </c>
      <c r="K194" s="23">
        <v>0</v>
      </c>
      <c r="L194" s="32" t="s">
        <v>327</v>
      </c>
    </row>
    <row r="195" spans="1:12" x14ac:dyDescent="0.2">
      <c r="A195" s="69">
        <v>45576</v>
      </c>
      <c r="B195" s="23">
        <v>636</v>
      </c>
      <c r="C195" s="23">
        <v>2350</v>
      </c>
      <c r="D195" s="23">
        <v>2986</v>
      </c>
      <c r="E195" s="23">
        <v>3025</v>
      </c>
      <c r="F195" s="23">
        <v>0</v>
      </c>
      <c r="G195" s="23">
        <v>-39</v>
      </c>
      <c r="H195" s="23">
        <v>1482</v>
      </c>
      <c r="I195" s="23">
        <v>868</v>
      </c>
      <c r="J195" s="23">
        <v>0</v>
      </c>
      <c r="K195" s="23">
        <v>0</v>
      </c>
      <c r="L195" s="32" t="s">
        <v>328</v>
      </c>
    </row>
    <row r="196" spans="1:12" x14ac:dyDescent="0.2">
      <c r="A196" s="69">
        <v>45577</v>
      </c>
      <c r="B196" s="23">
        <v>636</v>
      </c>
      <c r="C196" s="23">
        <v>2379</v>
      </c>
      <c r="D196" s="23">
        <v>3015</v>
      </c>
      <c r="E196" s="23">
        <v>3025</v>
      </c>
      <c r="F196" s="23">
        <v>0</v>
      </c>
      <c r="G196" s="23">
        <v>-10</v>
      </c>
      <c r="H196" s="23">
        <v>1498</v>
      </c>
      <c r="I196" s="23">
        <v>881</v>
      </c>
      <c r="J196" s="23">
        <v>0</v>
      </c>
      <c r="K196" s="23">
        <v>0</v>
      </c>
      <c r="L196" s="32" t="s">
        <v>329</v>
      </c>
    </row>
    <row r="197" spans="1:12" x14ac:dyDescent="0.2">
      <c r="A197" s="69">
        <v>45578</v>
      </c>
      <c r="B197" s="23">
        <v>636</v>
      </c>
      <c r="C197" s="23">
        <v>2369</v>
      </c>
      <c r="D197" s="23">
        <v>3005</v>
      </c>
      <c r="E197" s="23">
        <v>3025</v>
      </c>
      <c r="F197" s="23">
        <v>0</v>
      </c>
      <c r="G197" s="23">
        <v>-20</v>
      </c>
      <c r="H197" s="23">
        <v>1490</v>
      </c>
      <c r="I197" s="23">
        <v>878</v>
      </c>
      <c r="J197" s="23">
        <v>0</v>
      </c>
      <c r="K197" s="23">
        <v>0</v>
      </c>
      <c r="L197" s="32" t="s">
        <v>330</v>
      </c>
    </row>
    <row r="198" spans="1:12" x14ac:dyDescent="0.2">
      <c r="A198" s="69">
        <v>45579</v>
      </c>
      <c r="B198" s="23">
        <v>636</v>
      </c>
      <c r="C198" s="23">
        <v>2502</v>
      </c>
      <c r="D198" s="23">
        <v>3138</v>
      </c>
      <c r="E198" s="23">
        <v>3025</v>
      </c>
      <c r="F198" s="23">
        <v>0</v>
      </c>
      <c r="G198" s="23">
        <v>113</v>
      </c>
      <c r="H198" s="23">
        <v>1566</v>
      </c>
      <c r="I198" s="23">
        <v>936</v>
      </c>
      <c r="J198" s="23">
        <v>0</v>
      </c>
      <c r="K198" s="23">
        <v>0</v>
      </c>
      <c r="L198" s="32" t="s">
        <v>331</v>
      </c>
    </row>
    <row r="199" spans="1:12" x14ac:dyDescent="0.2">
      <c r="A199" s="69">
        <v>45580</v>
      </c>
      <c r="B199" s="23">
        <v>636</v>
      </c>
      <c r="C199" s="23">
        <v>2517</v>
      </c>
      <c r="D199" s="23">
        <v>3153</v>
      </c>
      <c r="E199" s="23">
        <v>3025</v>
      </c>
      <c r="F199" s="23">
        <v>0</v>
      </c>
      <c r="G199" s="23">
        <v>128</v>
      </c>
      <c r="H199" s="23">
        <v>1590</v>
      </c>
      <c r="I199" s="23">
        <v>928</v>
      </c>
      <c r="J199" s="23">
        <v>0</v>
      </c>
      <c r="K199" s="23">
        <v>0</v>
      </c>
      <c r="L199" s="32" t="s">
        <v>332</v>
      </c>
    </row>
    <row r="200" spans="1:12" x14ac:dyDescent="0.2">
      <c r="A200" s="69">
        <v>45581</v>
      </c>
      <c r="B200" s="23">
        <v>636</v>
      </c>
      <c r="C200" s="23">
        <v>2532</v>
      </c>
      <c r="D200" s="23">
        <v>3168</v>
      </c>
      <c r="E200" s="23">
        <v>3025</v>
      </c>
      <c r="F200" s="23">
        <v>0</v>
      </c>
      <c r="G200" s="23">
        <v>143</v>
      </c>
      <c r="H200" s="23">
        <v>1603</v>
      </c>
      <c r="I200" s="23">
        <v>929</v>
      </c>
      <c r="J200" s="23">
        <v>0</v>
      </c>
      <c r="K200" s="23">
        <v>0</v>
      </c>
      <c r="L200" s="32" t="s">
        <v>333</v>
      </c>
    </row>
    <row r="201" spans="1:12" x14ac:dyDescent="0.2">
      <c r="A201" s="69">
        <v>45582</v>
      </c>
      <c r="B201" s="23">
        <v>636</v>
      </c>
      <c r="C201" s="23">
        <v>2525</v>
      </c>
      <c r="D201" s="23">
        <v>3161</v>
      </c>
      <c r="E201" s="23">
        <v>3025</v>
      </c>
      <c r="F201" s="23">
        <v>0</v>
      </c>
      <c r="G201" s="23">
        <v>136</v>
      </c>
      <c r="H201" s="23">
        <v>1598</v>
      </c>
      <c r="I201" s="23">
        <v>927</v>
      </c>
      <c r="J201" s="23">
        <v>0</v>
      </c>
      <c r="K201" s="23">
        <v>0</v>
      </c>
      <c r="L201" s="32" t="s">
        <v>334</v>
      </c>
    </row>
    <row r="202" spans="1:12" x14ac:dyDescent="0.2">
      <c r="A202" s="69">
        <v>45583</v>
      </c>
      <c r="B202" s="23">
        <v>636</v>
      </c>
      <c r="C202" s="23">
        <v>2562</v>
      </c>
      <c r="D202" s="23">
        <v>3198</v>
      </c>
      <c r="E202" s="23">
        <v>3025</v>
      </c>
      <c r="F202" s="23">
        <v>0</v>
      </c>
      <c r="G202" s="23">
        <v>173</v>
      </c>
      <c r="H202" s="23">
        <v>1622</v>
      </c>
      <c r="I202" s="23">
        <v>940</v>
      </c>
      <c r="J202" s="23">
        <v>0</v>
      </c>
      <c r="K202" s="23">
        <v>0</v>
      </c>
      <c r="L202" s="32" t="s">
        <v>335</v>
      </c>
    </row>
    <row r="203" spans="1:12" x14ac:dyDescent="0.2">
      <c r="A203" s="69">
        <v>45584</v>
      </c>
      <c r="B203" s="23">
        <v>636</v>
      </c>
      <c r="C203" s="23">
        <v>2563</v>
      </c>
      <c r="D203" s="23">
        <v>3199</v>
      </c>
      <c r="E203" s="23">
        <v>3025</v>
      </c>
      <c r="F203" s="23">
        <v>0</v>
      </c>
      <c r="G203" s="23">
        <v>174</v>
      </c>
      <c r="H203" s="23">
        <v>1621</v>
      </c>
      <c r="I203" s="23">
        <v>942</v>
      </c>
      <c r="J203" s="23">
        <v>0</v>
      </c>
      <c r="K203" s="23">
        <v>0</v>
      </c>
      <c r="L203" s="32" t="s">
        <v>336</v>
      </c>
    </row>
    <row r="204" spans="1:12" x14ac:dyDescent="0.2">
      <c r="A204" s="69">
        <v>45585</v>
      </c>
      <c r="B204" s="23">
        <v>636</v>
      </c>
      <c r="C204" s="23">
        <v>2613</v>
      </c>
      <c r="D204" s="23">
        <v>3250</v>
      </c>
      <c r="E204" s="23">
        <v>3025</v>
      </c>
      <c r="F204" s="23">
        <v>0</v>
      </c>
      <c r="G204" s="23">
        <v>225</v>
      </c>
      <c r="H204" s="23">
        <v>1636</v>
      </c>
      <c r="I204" s="23">
        <v>977</v>
      </c>
      <c r="J204" s="23">
        <v>0</v>
      </c>
      <c r="K204" s="23">
        <v>0</v>
      </c>
      <c r="L204" s="32" t="s">
        <v>337</v>
      </c>
    </row>
    <row r="205" spans="1:12" x14ac:dyDescent="0.2">
      <c r="A205" s="69">
        <v>45586</v>
      </c>
      <c r="B205" s="23">
        <v>636</v>
      </c>
      <c r="C205" s="23">
        <v>2546</v>
      </c>
      <c r="D205" s="23">
        <v>3182</v>
      </c>
      <c r="E205" s="23">
        <v>3025</v>
      </c>
      <c r="F205" s="23">
        <v>0</v>
      </c>
      <c r="G205" s="23">
        <v>157</v>
      </c>
      <c r="H205" s="23">
        <v>1597</v>
      </c>
      <c r="I205" s="23">
        <v>949</v>
      </c>
      <c r="J205" s="23">
        <v>0</v>
      </c>
      <c r="K205" s="23">
        <v>0</v>
      </c>
      <c r="L205" s="32" t="s">
        <v>338</v>
      </c>
    </row>
    <row r="206" spans="1:12" x14ac:dyDescent="0.2">
      <c r="A206" s="69">
        <v>45587</v>
      </c>
      <c r="B206" s="23">
        <v>636</v>
      </c>
      <c r="C206" s="23">
        <v>2531</v>
      </c>
      <c r="D206" s="23">
        <v>3167</v>
      </c>
      <c r="E206" s="23">
        <v>3025</v>
      </c>
      <c r="F206" s="23">
        <v>0</v>
      </c>
      <c r="G206" s="23">
        <v>142</v>
      </c>
      <c r="H206" s="23">
        <v>1598</v>
      </c>
      <c r="I206" s="23">
        <v>933</v>
      </c>
      <c r="J206" s="23">
        <v>0</v>
      </c>
      <c r="K206" s="23">
        <v>0</v>
      </c>
      <c r="L206" s="32" t="s">
        <v>339</v>
      </c>
    </row>
    <row r="207" spans="1:12" x14ac:dyDescent="0.2">
      <c r="A207" s="69">
        <v>45588</v>
      </c>
      <c r="B207" s="23">
        <v>636</v>
      </c>
      <c r="C207" s="23">
        <v>2478</v>
      </c>
      <c r="D207" s="23">
        <v>3114</v>
      </c>
      <c r="E207" s="23">
        <v>3025</v>
      </c>
      <c r="F207" s="23">
        <v>0</v>
      </c>
      <c r="G207" s="23">
        <v>89</v>
      </c>
      <c r="H207" s="23">
        <v>1580</v>
      </c>
      <c r="I207" s="23">
        <v>898</v>
      </c>
      <c r="J207" s="23">
        <v>0</v>
      </c>
      <c r="K207" s="23">
        <v>0</v>
      </c>
      <c r="L207" s="32" t="s">
        <v>340</v>
      </c>
    </row>
    <row r="208" spans="1:12" x14ac:dyDescent="0.2">
      <c r="A208" s="69">
        <v>45589</v>
      </c>
      <c r="B208" s="23">
        <v>636</v>
      </c>
      <c r="C208" s="23">
        <v>2519</v>
      </c>
      <c r="D208" s="23">
        <v>3155</v>
      </c>
      <c r="E208" s="23">
        <v>3025</v>
      </c>
      <c r="F208" s="23">
        <v>0</v>
      </c>
      <c r="G208" s="23">
        <v>130</v>
      </c>
      <c r="H208" s="23">
        <v>1616</v>
      </c>
      <c r="I208" s="23">
        <v>902</v>
      </c>
      <c r="J208" s="23">
        <v>0</v>
      </c>
      <c r="K208" s="23">
        <v>0</v>
      </c>
      <c r="L208" s="32" t="s">
        <v>341</v>
      </c>
    </row>
    <row r="209" spans="1:12" x14ac:dyDescent="0.2">
      <c r="A209" s="69">
        <v>45590</v>
      </c>
      <c r="B209" s="23">
        <v>636</v>
      </c>
      <c r="C209" s="23">
        <v>2449</v>
      </c>
      <c r="D209" s="23">
        <v>3085</v>
      </c>
      <c r="E209" s="23">
        <v>3025</v>
      </c>
      <c r="F209" s="23">
        <v>0</v>
      </c>
      <c r="G209" s="23">
        <v>60</v>
      </c>
      <c r="H209" s="23">
        <v>1581</v>
      </c>
      <c r="I209" s="23">
        <v>868</v>
      </c>
      <c r="J209" s="23">
        <v>0</v>
      </c>
      <c r="K209" s="23">
        <v>0</v>
      </c>
      <c r="L209" s="32" t="s">
        <v>342</v>
      </c>
    </row>
    <row r="210" spans="1:12" x14ac:dyDescent="0.2">
      <c r="A210" s="69">
        <v>45591</v>
      </c>
      <c r="B210" s="23">
        <v>636</v>
      </c>
      <c r="C210" s="23">
        <v>2473</v>
      </c>
      <c r="D210" s="23">
        <v>3109</v>
      </c>
      <c r="E210" s="23">
        <v>3025</v>
      </c>
      <c r="F210" s="23">
        <v>0</v>
      </c>
      <c r="G210" s="23">
        <v>84</v>
      </c>
      <c r="H210" s="23">
        <v>1590</v>
      </c>
      <c r="I210" s="23">
        <v>883</v>
      </c>
      <c r="J210" s="23">
        <v>0</v>
      </c>
      <c r="K210" s="23">
        <v>0</v>
      </c>
      <c r="L210" s="32" t="s">
        <v>343</v>
      </c>
    </row>
    <row r="211" spans="1:12" x14ac:dyDescent="0.2">
      <c r="A211" s="69">
        <v>45592</v>
      </c>
      <c r="B211" s="23">
        <v>636</v>
      </c>
      <c r="C211" s="23">
        <v>2504</v>
      </c>
      <c r="D211" s="23">
        <v>3140</v>
      </c>
      <c r="E211" s="23">
        <v>3025</v>
      </c>
      <c r="F211" s="23">
        <v>0</v>
      </c>
      <c r="G211" s="23">
        <v>115</v>
      </c>
      <c r="H211" s="23">
        <v>1612</v>
      </c>
      <c r="I211" s="23">
        <v>892</v>
      </c>
      <c r="J211" s="23">
        <v>0</v>
      </c>
      <c r="K211" s="23">
        <v>0</v>
      </c>
      <c r="L211" s="32" t="s">
        <v>344</v>
      </c>
    </row>
    <row r="212" spans="1:12" x14ac:dyDescent="0.2">
      <c r="A212" s="69">
        <v>45593</v>
      </c>
      <c r="B212" s="23">
        <v>636</v>
      </c>
      <c r="C212" s="23">
        <v>2572</v>
      </c>
      <c r="D212" s="23">
        <v>3208</v>
      </c>
      <c r="E212" s="23">
        <v>3025</v>
      </c>
      <c r="F212" s="23">
        <v>0</v>
      </c>
      <c r="G212" s="23">
        <v>183</v>
      </c>
      <c r="H212" s="23">
        <v>1658</v>
      </c>
      <c r="I212" s="23">
        <v>914</v>
      </c>
      <c r="J212" s="23">
        <v>0</v>
      </c>
      <c r="K212" s="23">
        <v>0</v>
      </c>
      <c r="L212" s="32" t="s">
        <v>345</v>
      </c>
    </row>
    <row r="213" spans="1:12" x14ac:dyDescent="0.2">
      <c r="A213" s="69">
        <v>45594</v>
      </c>
      <c r="B213" s="23">
        <v>636</v>
      </c>
      <c r="C213" s="23">
        <v>2663</v>
      </c>
      <c r="D213" s="23">
        <v>3299</v>
      </c>
      <c r="E213" s="23">
        <v>3025</v>
      </c>
      <c r="F213" s="23">
        <v>0</v>
      </c>
      <c r="G213" s="23">
        <v>274</v>
      </c>
      <c r="H213" s="23">
        <v>1724</v>
      </c>
      <c r="I213" s="23">
        <v>939</v>
      </c>
      <c r="J213" s="23">
        <v>0</v>
      </c>
      <c r="K213" s="23">
        <v>0</v>
      </c>
      <c r="L213" s="32" t="s">
        <v>346</v>
      </c>
    </row>
    <row r="214" spans="1:12" x14ac:dyDescent="0.2">
      <c r="A214" s="69">
        <v>45595</v>
      </c>
      <c r="B214" s="23">
        <v>1070</v>
      </c>
      <c r="C214" s="23">
        <v>2227</v>
      </c>
      <c r="D214" s="23">
        <v>3297</v>
      </c>
      <c r="E214" s="23">
        <v>3025</v>
      </c>
      <c r="F214" s="23">
        <v>0</v>
      </c>
      <c r="G214" s="23">
        <v>272</v>
      </c>
      <c r="H214" s="23">
        <v>1281</v>
      </c>
      <c r="I214" s="23">
        <v>946</v>
      </c>
      <c r="J214" s="23">
        <v>0</v>
      </c>
      <c r="K214" s="23">
        <v>0</v>
      </c>
      <c r="L214" s="32" t="s">
        <v>347</v>
      </c>
    </row>
    <row r="215" spans="1:12" x14ac:dyDescent="0.2">
      <c r="A215" s="69">
        <v>45596</v>
      </c>
      <c r="B215" s="23">
        <v>1070</v>
      </c>
      <c r="C215" s="23">
        <v>2140</v>
      </c>
      <c r="D215" s="23">
        <v>3210</v>
      </c>
      <c r="E215" s="23">
        <v>3025</v>
      </c>
      <c r="F215" s="23">
        <v>0</v>
      </c>
      <c r="G215" s="23">
        <v>185</v>
      </c>
      <c r="H215" s="23">
        <v>1244</v>
      </c>
      <c r="I215" s="23">
        <v>896</v>
      </c>
      <c r="J215" s="23">
        <v>0</v>
      </c>
      <c r="K215" s="23">
        <v>0</v>
      </c>
      <c r="L215" s="32" t="s">
        <v>348</v>
      </c>
    </row>
    <row r="216" spans="1:12" x14ac:dyDescent="0.2">
      <c r="A216" s="69">
        <v>45597</v>
      </c>
      <c r="B216" s="23">
        <v>1070</v>
      </c>
      <c r="C216" s="23">
        <v>2124</v>
      </c>
      <c r="D216" s="23">
        <v>3194</v>
      </c>
      <c r="E216" s="23">
        <v>3025</v>
      </c>
      <c r="F216" s="23">
        <v>0</v>
      </c>
      <c r="G216" s="23">
        <v>169</v>
      </c>
      <c r="H216" s="23">
        <v>1230</v>
      </c>
      <c r="I216" s="23">
        <v>894</v>
      </c>
      <c r="J216" s="23">
        <v>0</v>
      </c>
      <c r="K216" s="23">
        <v>0</v>
      </c>
      <c r="L216" s="32" t="s">
        <v>349</v>
      </c>
    </row>
    <row r="217" spans="1:12" x14ac:dyDescent="0.2">
      <c r="A217" s="69">
        <v>45598</v>
      </c>
      <c r="B217" s="23">
        <v>1070</v>
      </c>
      <c r="C217" s="23">
        <v>2115</v>
      </c>
      <c r="D217" s="23">
        <v>3186</v>
      </c>
      <c r="E217" s="23">
        <v>3025</v>
      </c>
      <c r="F217" s="23">
        <v>0</v>
      </c>
      <c r="G217" s="23">
        <v>161</v>
      </c>
      <c r="H217" s="23">
        <v>1228</v>
      </c>
      <c r="I217" s="23">
        <v>887</v>
      </c>
      <c r="J217" s="23">
        <v>0</v>
      </c>
      <c r="K217" s="23">
        <v>0</v>
      </c>
      <c r="L217" s="32" t="s">
        <v>350</v>
      </c>
    </row>
    <row r="218" spans="1:12" x14ac:dyDescent="0.2">
      <c r="A218" s="69">
        <v>45599</v>
      </c>
      <c r="B218" s="23">
        <v>1070</v>
      </c>
      <c r="C218" s="23">
        <v>2092</v>
      </c>
      <c r="D218" s="23">
        <v>3162</v>
      </c>
      <c r="E218" s="23">
        <v>3025</v>
      </c>
      <c r="F218" s="23">
        <v>0</v>
      </c>
      <c r="G218" s="23">
        <v>137</v>
      </c>
      <c r="H218" s="23">
        <v>1217</v>
      </c>
      <c r="I218" s="23">
        <v>875</v>
      </c>
      <c r="J218" s="23">
        <v>0</v>
      </c>
      <c r="K218" s="23">
        <v>0</v>
      </c>
      <c r="L218" s="32" t="s">
        <v>351</v>
      </c>
    </row>
    <row r="219" spans="1:12" x14ac:dyDescent="0.2">
      <c r="A219" s="69">
        <v>45600</v>
      </c>
      <c r="B219" s="23">
        <v>1070</v>
      </c>
      <c r="C219" s="23">
        <v>2054</v>
      </c>
      <c r="D219" s="23">
        <v>3124</v>
      </c>
      <c r="E219" s="23">
        <v>3025</v>
      </c>
      <c r="F219" s="23">
        <v>0</v>
      </c>
      <c r="G219" s="23">
        <v>99</v>
      </c>
      <c r="H219" s="23">
        <v>1201</v>
      </c>
      <c r="I219" s="23">
        <v>853</v>
      </c>
      <c r="J219" s="23">
        <v>0</v>
      </c>
      <c r="K219" s="23">
        <v>0</v>
      </c>
      <c r="L219" s="32" t="s">
        <v>352</v>
      </c>
    </row>
    <row r="220" spans="1:12" x14ac:dyDescent="0.2">
      <c r="A220" s="69">
        <v>45601</v>
      </c>
      <c r="B220" s="23">
        <v>862</v>
      </c>
      <c r="C220" s="23">
        <v>2293</v>
      </c>
      <c r="D220" s="23">
        <v>3155</v>
      </c>
      <c r="E220" s="23">
        <v>3025</v>
      </c>
      <c r="F220" s="23">
        <v>0</v>
      </c>
      <c r="G220" s="23">
        <v>130</v>
      </c>
      <c r="H220" s="23">
        <v>1228</v>
      </c>
      <c r="I220" s="23">
        <v>1065</v>
      </c>
      <c r="J220" s="23">
        <v>0</v>
      </c>
      <c r="K220" s="23">
        <v>0</v>
      </c>
      <c r="L220" s="32" t="s">
        <v>353</v>
      </c>
    </row>
    <row r="221" spans="1:12" x14ac:dyDescent="0.2">
      <c r="A221" s="69">
        <v>45602</v>
      </c>
      <c r="B221" s="23">
        <v>862</v>
      </c>
      <c r="C221" s="23">
        <v>2535</v>
      </c>
      <c r="D221" s="23">
        <v>3397</v>
      </c>
      <c r="E221" s="23">
        <v>3025</v>
      </c>
      <c r="F221" s="23">
        <v>0</v>
      </c>
      <c r="G221" s="23">
        <v>372</v>
      </c>
      <c r="H221" s="23">
        <v>1338</v>
      </c>
      <c r="I221" s="23">
        <v>1197</v>
      </c>
      <c r="J221" s="23">
        <v>0</v>
      </c>
      <c r="K221" s="23">
        <v>0</v>
      </c>
      <c r="L221" s="32" t="s">
        <v>354</v>
      </c>
    </row>
    <row r="222" spans="1:12" x14ac:dyDescent="0.2">
      <c r="A222" s="69">
        <v>45603</v>
      </c>
      <c r="B222" s="23">
        <v>862</v>
      </c>
      <c r="C222" s="23">
        <v>2616</v>
      </c>
      <c r="D222" s="23">
        <v>3478</v>
      </c>
      <c r="E222" s="23">
        <v>3025</v>
      </c>
      <c r="F222" s="23">
        <v>0</v>
      </c>
      <c r="G222" s="23">
        <v>453</v>
      </c>
      <c r="H222" s="23">
        <v>1343</v>
      </c>
      <c r="I222" s="23">
        <v>1273</v>
      </c>
      <c r="J222" s="23">
        <v>0</v>
      </c>
      <c r="K222" s="23">
        <v>0</v>
      </c>
      <c r="L222" s="32" t="s">
        <v>355</v>
      </c>
    </row>
    <row r="223" spans="1:12" x14ac:dyDescent="0.2">
      <c r="A223" s="69">
        <v>45604</v>
      </c>
      <c r="B223" s="23">
        <v>862</v>
      </c>
      <c r="C223" s="23">
        <v>2657</v>
      </c>
      <c r="D223" s="23">
        <v>3519</v>
      </c>
      <c r="E223" s="23">
        <v>3025</v>
      </c>
      <c r="F223" s="23">
        <v>0</v>
      </c>
      <c r="G223" s="23">
        <v>494</v>
      </c>
      <c r="H223" s="23">
        <v>1354</v>
      </c>
      <c r="I223" s="23">
        <v>1303</v>
      </c>
      <c r="J223" s="23">
        <v>0</v>
      </c>
      <c r="K223" s="23">
        <v>0</v>
      </c>
      <c r="L223" s="32" t="s">
        <v>356</v>
      </c>
    </row>
    <row r="224" spans="1:12" x14ac:dyDescent="0.2">
      <c r="A224" s="69">
        <v>45605</v>
      </c>
      <c r="B224" s="23">
        <v>862</v>
      </c>
      <c r="C224" s="23">
        <v>2732</v>
      </c>
      <c r="D224" s="23">
        <v>3594</v>
      </c>
      <c r="E224" s="23">
        <v>3025</v>
      </c>
      <c r="F224" s="23">
        <v>0</v>
      </c>
      <c r="G224" s="23">
        <v>569</v>
      </c>
      <c r="H224" s="23">
        <v>1357</v>
      </c>
      <c r="I224" s="23">
        <v>1375</v>
      </c>
      <c r="J224" s="23">
        <v>0</v>
      </c>
      <c r="K224" s="23">
        <v>0</v>
      </c>
      <c r="L224" s="32" t="s">
        <v>357</v>
      </c>
    </row>
    <row r="225" spans="1:12" x14ac:dyDescent="0.2">
      <c r="A225" s="69">
        <v>45606</v>
      </c>
      <c r="B225" s="23">
        <v>862</v>
      </c>
      <c r="C225" s="23">
        <v>2823</v>
      </c>
      <c r="D225" s="23">
        <v>3685</v>
      </c>
      <c r="E225" s="23">
        <v>3025</v>
      </c>
      <c r="F225" s="23">
        <v>0</v>
      </c>
      <c r="G225" s="23">
        <v>660</v>
      </c>
      <c r="H225" s="23">
        <v>1423</v>
      </c>
      <c r="I225" s="23">
        <v>1400</v>
      </c>
      <c r="J225" s="23">
        <v>0</v>
      </c>
      <c r="K225" s="23">
        <v>0</v>
      </c>
      <c r="L225" s="32" t="s">
        <v>358</v>
      </c>
    </row>
    <row r="226" spans="1:12" x14ac:dyDescent="0.2">
      <c r="A226" s="69">
        <v>45607</v>
      </c>
      <c r="B226" s="23">
        <v>862</v>
      </c>
      <c r="C226" s="23">
        <v>3052</v>
      </c>
      <c r="D226" s="23">
        <v>3914</v>
      </c>
      <c r="E226" s="23">
        <v>3025</v>
      </c>
      <c r="F226" s="23">
        <v>0</v>
      </c>
      <c r="G226" s="23">
        <v>889</v>
      </c>
      <c r="H226" s="23">
        <v>1569</v>
      </c>
      <c r="I226" s="23">
        <v>1483</v>
      </c>
      <c r="J226" s="23">
        <v>0</v>
      </c>
      <c r="K226" s="23">
        <v>0</v>
      </c>
      <c r="L226" s="32" t="s">
        <v>359</v>
      </c>
    </row>
    <row r="227" spans="1:12" x14ac:dyDescent="0.2">
      <c r="A227" s="69">
        <v>45608</v>
      </c>
      <c r="B227" s="23">
        <v>862</v>
      </c>
      <c r="C227" s="23">
        <v>2983</v>
      </c>
      <c r="D227" s="23">
        <v>3845</v>
      </c>
      <c r="E227" s="23">
        <v>3025</v>
      </c>
      <c r="F227" s="23">
        <v>0</v>
      </c>
      <c r="G227" s="23">
        <v>820</v>
      </c>
      <c r="H227" s="23">
        <v>1557</v>
      </c>
      <c r="I227" s="23">
        <v>1427</v>
      </c>
      <c r="J227" s="23">
        <v>0</v>
      </c>
      <c r="K227" s="23">
        <v>0</v>
      </c>
      <c r="L227" s="32" t="s">
        <v>360</v>
      </c>
    </row>
    <row r="228" spans="1:12" x14ac:dyDescent="0.2">
      <c r="A228" s="69">
        <v>45609</v>
      </c>
      <c r="B228" s="23">
        <v>862</v>
      </c>
      <c r="C228" s="23">
        <v>3001</v>
      </c>
      <c r="D228" s="23">
        <v>3863</v>
      </c>
      <c r="E228" s="23">
        <v>3025</v>
      </c>
      <c r="F228" s="23">
        <v>0</v>
      </c>
      <c r="G228" s="23">
        <v>838</v>
      </c>
      <c r="H228" s="23">
        <v>1600</v>
      </c>
      <c r="I228" s="23">
        <v>1402</v>
      </c>
      <c r="J228" s="23">
        <v>0</v>
      </c>
      <c r="K228" s="23">
        <v>0</v>
      </c>
      <c r="L228" s="32" t="s">
        <v>361</v>
      </c>
    </row>
    <row r="229" spans="1:12" x14ac:dyDescent="0.2">
      <c r="A229" s="69">
        <v>45610</v>
      </c>
      <c r="B229" s="23">
        <v>862</v>
      </c>
      <c r="C229" s="23">
        <v>2891</v>
      </c>
      <c r="D229" s="23">
        <v>3753</v>
      </c>
      <c r="E229" s="23">
        <v>3025</v>
      </c>
      <c r="F229" s="23">
        <v>0</v>
      </c>
      <c r="G229" s="23">
        <v>728</v>
      </c>
      <c r="H229" s="23">
        <v>1546</v>
      </c>
      <c r="I229" s="23">
        <v>1345</v>
      </c>
      <c r="J229" s="23">
        <v>0</v>
      </c>
      <c r="K229" s="23">
        <v>0</v>
      </c>
      <c r="L229" s="32" t="s">
        <v>362</v>
      </c>
    </row>
    <row r="230" spans="1:12" x14ac:dyDescent="0.2">
      <c r="A230" s="69">
        <v>45611</v>
      </c>
      <c r="B230" s="23">
        <v>862</v>
      </c>
      <c r="C230" s="23">
        <v>2970</v>
      </c>
      <c r="D230" s="23">
        <v>3832</v>
      </c>
      <c r="E230" s="23">
        <v>3025</v>
      </c>
      <c r="F230" s="23">
        <v>0</v>
      </c>
      <c r="G230" s="23">
        <v>807</v>
      </c>
      <c r="H230" s="23">
        <v>1611</v>
      </c>
      <c r="I230" s="23">
        <v>1359</v>
      </c>
      <c r="J230" s="23">
        <v>0</v>
      </c>
      <c r="K230" s="23">
        <v>0</v>
      </c>
      <c r="L230" s="32" t="s">
        <v>363</v>
      </c>
    </row>
    <row r="231" spans="1:12" x14ac:dyDescent="0.2">
      <c r="A231" s="69">
        <v>45612</v>
      </c>
      <c r="B231" s="23">
        <v>862</v>
      </c>
      <c r="C231" s="23">
        <v>2981</v>
      </c>
      <c r="D231" s="23">
        <v>3843</v>
      </c>
      <c r="E231" s="23">
        <v>3025</v>
      </c>
      <c r="F231" s="23">
        <v>0</v>
      </c>
      <c r="G231" s="23">
        <v>818</v>
      </c>
      <c r="H231" s="23">
        <v>1603</v>
      </c>
      <c r="I231" s="23">
        <v>1378</v>
      </c>
      <c r="J231" s="23">
        <v>0</v>
      </c>
      <c r="K231" s="23">
        <v>0</v>
      </c>
      <c r="L231" s="32" t="s">
        <v>364</v>
      </c>
    </row>
    <row r="232" spans="1:12" x14ac:dyDescent="0.2">
      <c r="A232" s="69">
        <v>45613</v>
      </c>
      <c r="B232" s="23">
        <v>862</v>
      </c>
      <c r="C232" s="23">
        <v>2943</v>
      </c>
      <c r="D232" s="23">
        <v>3805</v>
      </c>
      <c r="E232" s="23">
        <v>3025</v>
      </c>
      <c r="F232" s="23">
        <v>0</v>
      </c>
      <c r="G232" s="23">
        <v>780</v>
      </c>
      <c r="H232" s="23">
        <v>1590</v>
      </c>
      <c r="I232" s="23">
        <v>1353</v>
      </c>
      <c r="J232" s="23">
        <v>0</v>
      </c>
      <c r="K232" s="23">
        <v>0</v>
      </c>
      <c r="L232" s="32" t="s">
        <v>365</v>
      </c>
    </row>
    <row r="233" spans="1:12" x14ac:dyDescent="0.2">
      <c r="A233" s="69">
        <v>45614</v>
      </c>
      <c r="B233" s="23">
        <v>862</v>
      </c>
      <c r="C233" s="23">
        <v>3012</v>
      </c>
      <c r="D233" s="23">
        <v>3874</v>
      </c>
      <c r="E233" s="23">
        <v>3025</v>
      </c>
      <c r="F233" s="23">
        <v>0</v>
      </c>
      <c r="G233" s="23">
        <v>849</v>
      </c>
      <c r="H233" s="23">
        <v>1601</v>
      </c>
      <c r="I233" s="23">
        <v>1411</v>
      </c>
      <c r="J233" s="23">
        <v>0</v>
      </c>
      <c r="K233" s="23">
        <v>0</v>
      </c>
      <c r="L233" s="32" t="s">
        <v>366</v>
      </c>
    </row>
    <row r="234" spans="1:12" x14ac:dyDescent="0.2">
      <c r="A234" s="69">
        <v>45615</v>
      </c>
      <c r="B234" s="23">
        <v>862</v>
      </c>
      <c r="C234" s="23">
        <v>3001</v>
      </c>
      <c r="D234" s="23">
        <v>3863</v>
      </c>
      <c r="E234" s="23">
        <v>3025</v>
      </c>
      <c r="F234" s="23">
        <v>0</v>
      </c>
      <c r="G234" s="23">
        <v>838</v>
      </c>
      <c r="H234" s="23">
        <v>1634</v>
      </c>
      <c r="I234" s="23">
        <v>1367</v>
      </c>
      <c r="J234" s="23">
        <v>0</v>
      </c>
      <c r="K234" s="23">
        <v>0</v>
      </c>
      <c r="L234" s="32" t="s">
        <v>367</v>
      </c>
    </row>
    <row r="235" spans="1:12" x14ac:dyDescent="0.2">
      <c r="A235" s="69">
        <v>45616</v>
      </c>
      <c r="B235" s="23">
        <v>862</v>
      </c>
      <c r="C235" s="23">
        <v>3019</v>
      </c>
      <c r="D235" s="23">
        <v>3881</v>
      </c>
      <c r="E235" s="23">
        <v>3025</v>
      </c>
      <c r="F235" s="23">
        <v>0</v>
      </c>
      <c r="G235" s="23">
        <v>856</v>
      </c>
      <c r="H235" s="23">
        <v>1669</v>
      </c>
      <c r="I235" s="23">
        <v>1350</v>
      </c>
      <c r="J235" s="23">
        <v>0</v>
      </c>
      <c r="K235" s="23">
        <v>0</v>
      </c>
      <c r="L235" s="32" t="s">
        <v>368</v>
      </c>
    </row>
    <row r="236" spans="1:12" x14ac:dyDescent="0.2">
      <c r="A236" s="69">
        <v>45617</v>
      </c>
      <c r="B236" s="23">
        <v>862</v>
      </c>
      <c r="C236" s="23">
        <v>3216</v>
      </c>
      <c r="D236" s="23">
        <v>4078</v>
      </c>
      <c r="E236" s="23">
        <v>3025</v>
      </c>
      <c r="F236" s="23">
        <v>0</v>
      </c>
      <c r="G236" s="23">
        <v>1053</v>
      </c>
      <c r="H236" s="23">
        <v>1740</v>
      </c>
      <c r="I236" s="23">
        <v>1476</v>
      </c>
      <c r="J236" s="23">
        <v>0</v>
      </c>
      <c r="K236" s="23">
        <v>0</v>
      </c>
      <c r="L236" s="32" t="s">
        <v>369</v>
      </c>
    </row>
    <row r="237" spans="1:12" x14ac:dyDescent="0.2">
      <c r="A237" s="69">
        <v>45618</v>
      </c>
      <c r="B237" s="23">
        <v>862</v>
      </c>
      <c r="C237" s="23">
        <v>3214</v>
      </c>
      <c r="D237" s="23">
        <v>4076</v>
      </c>
      <c r="E237" s="23">
        <v>3025</v>
      </c>
      <c r="F237" s="23">
        <v>0</v>
      </c>
      <c r="G237" s="23">
        <v>1051</v>
      </c>
      <c r="H237" s="23">
        <v>1750</v>
      </c>
      <c r="I237" s="23">
        <v>1464</v>
      </c>
      <c r="J237" s="23">
        <v>0</v>
      </c>
      <c r="K237" s="23">
        <v>0</v>
      </c>
      <c r="L237" s="32" t="s">
        <v>370</v>
      </c>
    </row>
    <row r="238" spans="1:12" x14ac:dyDescent="0.2">
      <c r="A238" s="69">
        <v>45619</v>
      </c>
      <c r="B238" s="23">
        <v>862</v>
      </c>
      <c r="C238" s="23">
        <v>3222</v>
      </c>
      <c r="D238" s="23">
        <v>4083</v>
      </c>
      <c r="E238" s="23">
        <v>3025</v>
      </c>
      <c r="F238" s="23">
        <v>0</v>
      </c>
      <c r="G238" s="23">
        <v>1058</v>
      </c>
      <c r="H238" s="23">
        <v>1729</v>
      </c>
      <c r="I238" s="23">
        <v>1493</v>
      </c>
      <c r="J238" s="23">
        <v>0</v>
      </c>
      <c r="K238" s="23">
        <v>0</v>
      </c>
      <c r="L238" s="32" t="s">
        <v>371</v>
      </c>
    </row>
    <row r="239" spans="1:12" x14ac:dyDescent="0.2">
      <c r="A239" s="69">
        <v>45620</v>
      </c>
      <c r="B239" s="23">
        <v>862</v>
      </c>
      <c r="C239" s="23">
        <v>3211</v>
      </c>
      <c r="D239" s="23">
        <v>4073</v>
      </c>
      <c r="E239" s="23">
        <v>3025</v>
      </c>
      <c r="F239" s="23">
        <v>0</v>
      </c>
      <c r="G239" s="23">
        <v>1048</v>
      </c>
      <c r="H239" s="23">
        <v>1733</v>
      </c>
      <c r="I239" s="23">
        <v>1478</v>
      </c>
      <c r="J239" s="23">
        <v>0</v>
      </c>
      <c r="K239" s="23">
        <v>0</v>
      </c>
      <c r="L239" s="32" t="s">
        <v>372</v>
      </c>
    </row>
    <row r="240" spans="1:12" x14ac:dyDescent="0.2">
      <c r="A240" s="69">
        <v>45621</v>
      </c>
      <c r="B240" s="23">
        <v>862</v>
      </c>
      <c r="C240" s="23">
        <v>3148</v>
      </c>
      <c r="D240" s="23">
        <v>4010</v>
      </c>
      <c r="E240" s="23">
        <v>3025</v>
      </c>
      <c r="F240" s="23">
        <v>0</v>
      </c>
      <c r="G240" s="23">
        <v>985</v>
      </c>
      <c r="H240" s="23">
        <v>1646</v>
      </c>
      <c r="I240" s="23">
        <v>1502</v>
      </c>
      <c r="J240" s="23">
        <v>0</v>
      </c>
      <c r="K240" s="23">
        <v>0</v>
      </c>
      <c r="L240" s="32" t="s">
        <v>373</v>
      </c>
    </row>
    <row r="241" spans="1:12" x14ac:dyDescent="0.2">
      <c r="A241" s="69">
        <v>45622</v>
      </c>
      <c r="B241" s="23">
        <v>1705</v>
      </c>
      <c r="C241" s="23">
        <v>2262</v>
      </c>
      <c r="D241" s="23">
        <v>3967</v>
      </c>
      <c r="E241" s="23">
        <v>3025</v>
      </c>
      <c r="F241" s="23">
        <v>0</v>
      </c>
      <c r="G241" s="23">
        <v>942</v>
      </c>
      <c r="H241" s="23">
        <v>800</v>
      </c>
      <c r="I241" s="23">
        <v>1462</v>
      </c>
      <c r="J241" s="23">
        <v>0</v>
      </c>
      <c r="K241" s="23">
        <v>0</v>
      </c>
      <c r="L241" s="32" t="s">
        <v>374</v>
      </c>
    </row>
    <row r="242" spans="1:12" x14ac:dyDescent="0.2">
      <c r="A242" s="69">
        <v>45623</v>
      </c>
      <c r="B242" s="23">
        <v>1705</v>
      </c>
      <c r="C242" s="23">
        <v>2441</v>
      </c>
      <c r="D242" s="23">
        <v>4146</v>
      </c>
      <c r="E242" s="23">
        <v>3025</v>
      </c>
      <c r="F242" s="23">
        <v>0</v>
      </c>
      <c r="G242" s="23">
        <v>1121</v>
      </c>
      <c r="H242" s="23">
        <v>834</v>
      </c>
      <c r="I242" s="23">
        <v>1607</v>
      </c>
      <c r="J242" s="23">
        <v>0</v>
      </c>
      <c r="K242" s="23">
        <v>0</v>
      </c>
      <c r="L242" s="32" t="s">
        <v>375</v>
      </c>
    </row>
    <row r="243" spans="1:12" x14ac:dyDescent="0.2">
      <c r="A243" s="69">
        <v>45624</v>
      </c>
      <c r="B243" s="23">
        <v>1705</v>
      </c>
      <c r="C243" s="23">
        <v>2406</v>
      </c>
      <c r="D243" s="23">
        <v>4111</v>
      </c>
      <c r="E243" s="23">
        <v>3025</v>
      </c>
      <c r="F243" s="23">
        <v>0</v>
      </c>
      <c r="G243" s="23">
        <v>1086</v>
      </c>
      <c r="H243" s="23">
        <v>832</v>
      </c>
      <c r="I243" s="23">
        <v>1574</v>
      </c>
      <c r="J243" s="23">
        <v>0</v>
      </c>
      <c r="K243" s="23">
        <v>0</v>
      </c>
      <c r="L243" s="32" t="s">
        <v>376</v>
      </c>
    </row>
    <row r="244" spans="1:12" x14ac:dyDescent="0.2">
      <c r="A244" s="69">
        <v>45625</v>
      </c>
      <c r="B244" s="23">
        <v>1705</v>
      </c>
      <c r="C244" s="23">
        <v>2428</v>
      </c>
      <c r="D244" s="23">
        <v>4133</v>
      </c>
      <c r="E244" s="23">
        <v>3025</v>
      </c>
      <c r="F244" s="23">
        <v>0</v>
      </c>
      <c r="G244" s="23">
        <v>1108</v>
      </c>
      <c r="H244" s="23">
        <v>848</v>
      </c>
      <c r="I244" s="23">
        <v>1580</v>
      </c>
      <c r="J244" s="23">
        <v>0</v>
      </c>
      <c r="K244" s="23">
        <v>0</v>
      </c>
      <c r="L244" s="32" t="s">
        <v>377</v>
      </c>
    </row>
    <row r="245" spans="1:12" x14ac:dyDescent="0.2">
      <c r="A245" s="69">
        <v>45626</v>
      </c>
      <c r="B245" s="23">
        <v>1705</v>
      </c>
      <c r="C245" s="23">
        <v>2468</v>
      </c>
      <c r="D245" s="23">
        <v>4173</v>
      </c>
      <c r="E245" s="23">
        <v>3025</v>
      </c>
      <c r="F245" s="23">
        <v>0</v>
      </c>
      <c r="G245" s="23">
        <v>1148</v>
      </c>
      <c r="H245" s="23">
        <v>839</v>
      </c>
      <c r="I245" s="23">
        <v>1629</v>
      </c>
      <c r="J245" s="23">
        <v>0</v>
      </c>
      <c r="K245" s="23">
        <v>0</v>
      </c>
      <c r="L245" s="32" t="s">
        <v>378</v>
      </c>
    </row>
    <row r="246" spans="1:12" x14ac:dyDescent="0.2">
      <c r="A246" s="69">
        <v>45627</v>
      </c>
      <c r="B246" s="23">
        <v>1705</v>
      </c>
      <c r="C246" s="23">
        <v>2476</v>
      </c>
      <c r="D246" s="23">
        <v>4181</v>
      </c>
      <c r="E246" s="23">
        <v>3025</v>
      </c>
      <c r="F246" s="23">
        <v>0</v>
      </c>
      <c r="G246" s="23">
        <v>1156</v>
      </c>
      <c r="H246" s="23">
        <v>846</v>
      </c>
      <c r="I246" s="23">
        <v>1631</v>
      </c>
      <c r="J246" s="23">
        <v>0</v>
      </c>
      <c r="K246" s="23">
        <v>0</v>
      </c>
      <c r="L246" s="32" t="s">
        <v>379</v>
      </c>
    </row>
    <row r="247" spans="1:12" x14ac:dyDescent="0.2">
      <c r="A247" s="69">
        <v>45628</v>
      </c>
      <c r="B247" s="23">
        <v>1705</v>
      </c>
      <c r="C247" s="23">
        <v>2436</v>
      </c>
      <c r="D247" s="23">
        <v>4141</v>
      </c>
      <c r="E247" s="23">
        <v>3025</v>
      </c>
      <c r="F247" s="23">
        <v>0</v>
      </c>
      <c r="G247" s="23">
        <v>1116</v>
      </c>
      <c r="H247" s="23">
        <v>834</v>
      </c>
      <c r="I247" s="23">
        <v>1602</v>
      </c>
      <c r="J247" s="23">
        <v>0</v>
      </c>
      <c r="K247" s="23">
        <v>0</v>
      </c>
      <c r="L247" s="32" t="s">
        <v>380</v>
      </c>
    </row>
    <row r="248" spans="1:12" x14ac:dyDescent="0.2">
      <c r="A248" s="69">
        <v>45629</v>
      </c>
      <c r="B248" s="23">
        <v>1705</v>
      </c>
      <c r="C248" s="23">
        <v>2424</v>
      </c>
      <c r="D248" s="23">
        <v>4129</v>
      </c>
      <c r="E248" s="23">
        <v>3025</v>
      </c>
      <c r="F248" s="23">
        <v>0</v>
      </c>
      <c r="G248" s="23">
        <v>1104</v>
      </c>
      <c r="H248" s="23">
        <v>834</v>
      </c>
      <c r="I248" s="23">
        <v>1590</v>
      </c>
      <c r="J248" s="23">
        <v>0</v>
      </c>
      <c r="K248" s="23">
        <v>0</v>
      </c>
      <c r="L248" s="32" t="s">
        <v>381</v>
      </c>
    </row>
    <row r="249" spans="1:12" x14ac:dyDescent="0.2">
      <c r="A249" s="69">
        <v>45630</v>
      </c>
      <c r="B249" s="23">
        <v>1705</v>
      </c>
      <c r="C249" s="23">
        <v>2546</v>
      </c>
      <c r="D249" s="23">
        <v>4251</v>
      </c>
      <c r="E249" s="23">
        <v>3025</v>
      </c>
      <c r="F249" s="23">
        <v>0</v>
      </c>
      <c r="G249" s="23">
        <v>1226</v>
      </c>
      <c r="H249" s="23">
        <v>858</v>
      </c>
      <c r="I249" s="23">
        <v>1688</v>
      </c>
      <c r="J249" s="23">
        <v>0</v>
      </c>
      <c r="K249" s="23">
        <v>0</v>
      </c>
      <c r="L249" s="32" t="s">
        <v>382</v>
      </c>
    </row>
    <row r="250" spans="1:12" x14ac:dyDescent="0.2">
      <c r="A250" s="69">
        <v>45631</v>
      </c>
      <c r="B250" s="23">
        <v>1705</v>
      </c>
      <c r="C250" s="23">
        <v>2508</v>
      </c>
      <c r="D250" s="23">
        <v>4213</v>
      </c>
      <c r="E250" s="23">
        <v>3025</v>
      </c>
      <c r="F250" s="23">
        <v>0</v>
      </c>
      <c r="G250" s="23">
        <v>1188</v>
      </c>
      <c r="H250" s="23">
        <v>843</v>
      </c>
      <c r="I250" s="23">
        <v>1665</v>
      </c>
      <c r="J250" s="23">
        <v>0</v>
      </c>
      <c r="K250" s="23">
        <v>0</v>
      </c>
      <c r="L250" s="32" t="s">
        <v>383</v>
      </c>
    </row>
    <row r="251" spans="1:12" x14ac:dyDescent="0.2">
      <c r="A251" s="69">
        <v>45632</v>
      </c>
      <c r="B251" s="23">
        <v>1705</v>
      </c>
      <c r="C251" s="23">
        <v>2627</v>
      </c>
      <c r="D251" s="23">
        <v>4332</v>
      </c>
      <c r="E251" s="23">
        <v>3025</v>
      </c>
      <c r="F251" s="23">
        <v>0</v>
      </c>
      <c r="G251" s="23">
        <v>1307</v>
      </c>
      <c r="H251" s="23">
        <v>868</v>
      </c>
      <c r="I251" s="23">
        <v>1759</v>
      </c>
      <c r="J251" s="23">
        <v>0</v>
      </c>
      <c r="K251" s="23">
        <v>0</v>
      </c>
      <c r="L251" s="32" t="s">
        <v>384</v>
      </c>
    </row>
    <row r="252" spans="1:12" x14ac:dyDescent="0.2">
      <c r="A252" s="69">
        <v>45633</v>
      </c>
      <c r="B252" s="23">
        <v>1705</v>
      </c>
      <c r="C252" s="23">
        <v>2626</v>
      </c>
      <c r="D252" s="23">
        <v>4331</v>
      </c>
      <c r="E252" s="23">
        <v>3025</v>
      </c>
      <c r="F252" s="23">
        <v>0</v>
      </c>
      <c r="G252" s="23">
        <v>1306</v>
      </c>
      <c r="H252" s="23">
        <v>869</v>
      </c>
      <c r="I252" s="23">
        <v>1758</v>
      </c>
      <c r="J252" s="23">
        <v>0</v>
      </c>
      <c r="K252" s="23">
        <v>0</v>
      </c>
      <c r="L252" s="32" t="s">
        <v>385</v>
      </c>
    </row>
    <row r="253" spans="1:12" x14ac:dyDescent="0.2">
      <c r="A253" s="69">
        <v>45634</v>
      </c>
      <c r="B253" s="23">
        <v>1705</v>
      </c>
      <c r="C253" s="23">
        <v>2641</v>
      </c>
      <c r="D253" s="23">
        <v>4346</v>
      </c>
      <c r="E253" s="23">
        <v>3025</v>
      </c>
      <c r="F253" s="23">
        <v>0</v>
      </c>
      <c r="G253" s="23">
        <v>1321</v>
      </c>
      <c r="H253" s="23">
        <v>880</v>
      </c>
      <c r="I253" s="23">
        <v>1761</v>
      </c>
      <c r="J253" s="23">
        <v>0</v>
      </c>
      <c r="K253" s="23">
        <v>0</v>
      </c>
      <c r="L253" s="32" t="s">
        <v>386</v>
      </c>
    </row>
    <row r="254" spans="1:12" x14ac:dyDescent="0.2">
      <c r="A254" s="69">
        <v>45635</v>
      </c>
      <c r="B254" s="23">
        <v>1705</v>
      </c>
      <c r="C254" s="23">
        <v>2479</v>
      </c>
      <c r="D254" s="23">
        <v>4184</v>
      </c>
      <c r="E254" s="23">
        <v>3025</v>
      </c>
      <c r="F254" s="23">
        <v>0</v>
      </c>
      <c r="G254" s="23">
        <v>1159</v>
      </c>
      <c r="H254" s="23">
        <v>846</v>
      </c>
      <c r="I254" s="23">
        <v>1633</v>
      </c>
      <c r="J254" s="23">
        <v>0</v>
      </c>
      <c r="K254" s="23">
        <v>0</v>
      </c>
      <c r="L254" s="32" t="s">
        <v>387</v>
      </c>
    </row>
    <row r="255" spans="1:12" x14ac:dyDescent="0.2">
      <c r="A255" s="69">
        <v>45636</v>
      </c>
      <c r="B255" s="23">
        <v>1705</v>
      </c>
      <c r="C255" s="23">
        <v>2436</v>
      </c>
      <c r="D255" s="23">
        <v>4141</v>
      </c>
      <c r="E255" s="23">
        <v>3025</v>
      </c>
      <c r="F255" s="23">
        <v>0</v>
      </c>
      <c r="G255" s="23">
        <v>1116</v>
      </c>
      <c r="H255" s="23">
        <v>840</v>
      </c>
      <c r="I255" s="23">
        <v>1596</v>
      </c>
      <c r="J255" s="23">
        <v>0</v>
      </c>
      <c r="K255" s="23">
        <v>0</v>
      </c>
      <c r="L255" s="32" t="s">
        <v>388</v>
      </c>
    </row>
    <row r="256" spans="1:12" x14ac:dyDescent="0.2">
      <c r="A256" s="69">
        <v>45637</v>
      </c>
      <c r="B256" s="23">
        <v>1705</v>
      </c>
      <c r="C256" s="23">
        <v>2565</v>
      </c>
      <c r="D256" s="23">
        <v>4270</v>
      </c>
      <c r="E256" s="23">
        <v>3025</v>
      </c>
      <c r="F256" s="23">
        <v>0</v>
      </c>
      <c r="G256" s="23">
        <v>1245</v>
      </c>
      <c r="H256" s="23">
        <v>880</v>
      </c>
      <c r="I256" s="23">
        <v>1685</v>
      </c>
      <c r="J256" s="23">
        <v>0</v>
      </c>
      <c r="K256" s="23">
        <v>0</v>
      </c>
      <c r="L256" s="32" t="s">
        <v>389</v>
      </c>
    </row>
    <row r="257" spans="1:12" x14ac:dyDescent="0.2">
      <c r="A257" s="69">
        <v>45638</v>
      </c>
      <c r="B257" s="23">
        <v>1705</v>
      </c>
      <c r="C257" s="23">
        <v>2577</v>
      </c>
      <c r="D257" s="23">
        <v>4282</v>
      </c>
      <c r="E257" s="23">
        <v>3025</v>
      </c>
      <c r="F257" s="23">
        <v>0</v>
      </c>
      <c r="G257" s="23">
        <v>1257</v>
      </c>
      <c r="H257" s="23">
        <v>870</v>
      </c>
      <c r="I257" s="23">
        <v>1707</v>
      </c>
      <c r="J257" s="23">
        <v>0</v>
      </c>
      <c r="K257" s="23">
        <v>0</v>
      </c>
      <c r="L257" s="32" t="s">
        <v>390</v>
      </c>
    </row>
    <row r="258" spans="1:12" x14ac:dyDescent="0.2">
      <c r="A258" s="69">
        <v>45639</v>
      </c>
      <c r="B258" s="23">
        <v>1705</v>
      </c>
      <c r="C258" s="23">
        <v>2601</v>
      </c>
      <c r="D258" s="23">
        <v>4306</v>
      </c>
      <c r="E258" s="23">
        <v>3025</v>
      </c>
      <c r="F258" s="23">
        <v>0</v>
      </c>
      <c r="G258" s="23">
        <v>1281</v>
      </c>
      <c r="H258" s="23">
        <v>882</v>
      </c>
      <c r="I258" s="23">
        <v>1718</v>
      </c>
      <c r="J258" s="23">
        <v>0</v>
      </c>
      <c r="K258" s="23">
        <v>0</v>
      </c>
      <c r="L258" s="32" t="s">
        <v>391</v>
      </c>
    </row>
    <row r="259" spans="1:12" x14ac:dyDescent="0.2">
      <c r="A259" s="69">
        <v>45640</v>
      </c>
      <c r="B259" s="23">
        <v>1705</v>
      </c>
      <c r="C259" s="23">
        <v>2585</v>
      </c>
      <c r="D259" s="23">
        <v>4290</v>
      </c>
      <c r="E259" s="23">
        <v>3025</v>
      </c>
      <c r="F259" s="23">
        <v>0</v>
      </c>
      <c r="G259" s="23">
        <v>1265</v>
      </c>
      <c r="H259" s="23">
        <v>882</v>
      </c>
      <c r="I259" s="23">
        <v>1702</v>
      </c>
      <c r="J259" s="23">
        <v>0</v>
      </c>
      <c r="K259" s="23">
        <v>0</v>
      </c>
      <c r="L259" s="32" t="s">
        <v>392</v>
      </c>
    </row>
    <row r="260" spans="1:12" x14ac:dyDescent="0.2">
      <c r="A260" s="69">
        <v>45641</v>
      </c>
      <c r="B260" s="23">
        <v>1705</v>
      </c>
      <c r="C260" s="23">
        <v>2650</v>
      </c>
      <c r="D260" s="23">
        <v>4355</v>
      </c>
      <c r="E260" s="23">
        <v>3025</v>
      </c>
      <c r="F260" s="23">
        <v>0</v>
      </c>
      <c r="G260" s="23">
        <v>1330</v>
      </c>
      <c r="H260" s="23">
        <v>909</v>
      </c>
      <c r="I260" s="23">
        <v>1741</v>
      </c>
      <c r="J260" s="23">
        <v>0</v>
      </c>
      <c r="K260" s="23">
        <v>0</v>
      </c>
      <c r="L260" s="32" t="s">
        <v>393</v>
      </c>
    </row>
    <row r="261" spans="1:12" x14ac:dyDescent="0.2">
      <c r="A261" s="69">
        <v>45642</v>
      </c>
      <c r="B261" s="23">
        <v>1705</v>
      </c>
      <c r="C261" s="23">
        <v>2676</v>
      </c>
      <c r="D261" s="23">
        <v>4381</v>
      </c>
      <c r="E261" s="23">
        <v>3025</v>
      </c>
      <c r="F261" s="23">
        <v>0</v>
      </c>
      <c r="G261" s="23">
        <v>1356</v>
      </c>
      <c r="H261" s="23">
        <v>923</v>
      </c>
      <c r="I261" s="23">
        <v>1753</v>
      </c>
      <c r="J261" s="23">
        <v>0</v>
      </c>
      <c r="K261" s="23">
        <v>0</v>
      </c>
      <c r="L261" s="32" t="s">
        <v>394</v>
      </c>
    </row>
    <row r="262" spans="1:12" x14ac:dyDescent="0.2">
      <c r="A262" s="69">
        <v>45643</v>
      </c>
      <c r="B262" s="23">
        <v>1705</v>
      </c>
      <c r="C262" s="23">
        <v>2636</v>
      </c>
      <c r="D262" s="23">
        <v>4341</v>
      </c>
      <c r="E262" s="23">
        <v>3025</v>
      </c>
      <c r="F262" s="23">
        <v>0</v>
      </c>
      <c r="G262" s="23">
        <v>1316</v>
      </c>
      <c r="H262" s="23">
        <v>923</v>
      </c>
      <c r="I262" s="23">
        <v>1712</v>
      </c>
      <c r="J262" s="23">
        <v>0</v>
      </c>
      <c r="K262" s="23">
        <v>0</v>
      </c>
      <c r="L262" s="32" t="s">
        <v>395</v>
      </c>
    </row>
    <row r="263" spans="1:12" x14ac:dyDescent="0.2">
      <c r="A263" s="69">
        <v>45644</v>
      </c>
      <c r="B263" s="23">
        <v>1705</v>
      </c>
      <c r="C263" s="23">
        <v>2467</v>
      </c>
      <c r="D263" s="23">
        <v>4172</v>
      </c>
      <c r="E263" s="23">
        <v>3025</v>
      </c>
      <c r="F263" s="23">
        <v>0</v>
      </c>
      <c r="G263" s="23">
        <v>1147</v>
      </c>
      <c r="H263" s="23">
        <v>872</v>
      </c>
      <c r="I263" s="23">
        <v>1595</v>
      </c>
      <c r="J263" s="23">
        <v>0</v>
      </c>
      <c r="K263" s="23">
        <v>0</v>
      </c>
      <c r="L263" s="32" t="s">
        <v>396</v>
      </c>
    </row>
    <row r="264" spans="1:12" x14ac:dyDescent="0.2">
      <c r="A264" s="69">
        <v>45645</v>
      </c>
      <c r="B264" s="23">
        <v>1705</v>
      </c>
      <c r="C264" s="23">
        <v>2351</v>
      </c>
      <c r="D264" s="23">
        <v>4056</v>
      </c>
      <c r="E264" s="23">
        <v>3025</v>
      </c>
      <c r="F264" s="23">
        <v>0</v>
      </c>
      <c r="G264" s="23">
        <v>1031</v>
      </c>
      <c r="H264" s="23">
        <v>848</v>
      </c>
      <c r="I264" s="23">
        <v>1503</v>
      </c>
      <c r="J264" s="23">
        <v>0</v>
      </c>
      <c r="K264" s="23">
        <v>0</v>
      </c>
      <c r="L264" s="32" t="s">
        <v>397</v>
      </c>
    </row>
    <row r="265" spans="1:12" x14ac:dyDescent="0.2">
      <c r="A265" s="69">
        <v>45646</v>
      </c>
      <c r="B265" s="23">
        <v>1705</v>
      </c>
      <c r="C265" s="23">
        <v>2378</v>
      </c>
      <c r="D265" s="23">
        <v>4083</v>
      </c>
      <c r="E265" s="23">
        <v>3025</v>
      </c>
      <c r="F265" s="23">
        <v>0</v>
      </c>
      <c r="G265" s="23">
        <v>1058</v>
      </c>
      <c r="H265" s="23">
        <v>851</v>
      </c>
      <c r="I265" s="23">
        <v>1527</v>
      </c>
      <c r="J265" s="23">
        <v>0</v>
      </c>
      <c r="K265" s="23">
        <v>0</v>
      </c>
      <c r="L265" s="32" t="s">
        <v>398</v>
      </c>
    </row>
    <row r="266" spans="1:12" x14ac:dyDescent="0.2">
      <c r="A266" s="69">
        <v>45647</v>
      </c>
      <c r="B266" s="23">
        <v>1705</v>
      </c>
      <c r="C266" s="23">
        <v>2315</v>
      </c>
      <c r="D266" s="23">
        <v>4020</v>
      </c>
      <c r="E266" s="23">
        <v>3025</v>
      </c>
      <c r="F266" s="23">
        <v>0</v>
      </c>
      <c r="G266" s="23">
        <v>995</v>
      </c>
      <c r="H266" s="23">
        <v>846</v>
      </c>
      <c r="I266" s="23">
        <v>1469</v>
      </c>
      <c r="J266" s="23">
        <v>0</v>
      </c>
      <c r="K266" s="23">
        <v>0</v>
      </c>
      <c r="L266" s="32" t="s">
        <v>399</v>
      </c>
    </row>
    <row r="267" spans="1:12" x14ac:dyDescent="0.2">
      <c r="A267" s="69">
        <v>45648</v>
      </c>
      <c r="B267" s="23">
        <v>1705</v>
      </c>
      <c r="C267" s="23">
        <v>2272</v>
      </c>
      <c r="D267" s="23">
        <v>3977</v>
      </c>
      <c r="E267" s="23">
        <v>3025</v>
      </c>
      <c r="F267" s="23">
        <v>0</v>
      </c>
      <c r="G267" s="23">
        <v>952</v>
      </c>
      <c r="H267" s="23">
        <v>828</v>
      </c>
      <c r="I267" s="23">
        <v>1443</v>
      </c>
      <c r="J267" s="23">
        <v>0</v>
      </c>
      <c r="K267" s="23">
        <v>0</v>
      </c>
      <c r="L267" s="32" t="s">
        <v>400</v>
      </c>
    </row>
    <row r="268" spans="1:12" x14ac:dyDescent="0.2">
      <c r="A268" s="69">
        <v>45649</v>
      </c>
      <c r="B268" s="23">
        <v>1705</v>
      </c>
      <c r="C268" s="23">
        <v>2331</v>
      </c>
      <c r="D268" s="23">
        <v>4036</v>
      </c>
      <c r="E268" s="23">
        <v>3025</v>
      </c>
      <c r="F268" s="23">
        <v>0</v>
      </c>
      <c r="G268" s="23">
        <v>1011</v>
      </c>
      <c r="H268" s="23">
        <v>825</v>
      </c>
      <c r="I268" s="23">
        <v>1505</v>
      </c>
      <c r="J268" s="23">
        <v>0</v>
      </c>
      <c r="K268" s="23">
        <v>0</v>
      </c>
      <c r="L268" s="32" t="s">
        <v>401</v>
      </c>
    </row>
    <row r="269" spans="1:12" x14ac:dyDescent="0.2">
      <c r="A269" s="69">
        <v>45650</v>
      </c>
      <c r="B269" s="23">
        <v>1705</v>
      </c>
      <c r="C269" s="23">
        <v>2395</v>
      </c>
      <c r="D269" s="23">
        <v>4100</v>
      </c>
      <c r="E269" s="23">
        <v>3025</v>
      </c>
      <c r="F269" s="23">
        <v>0</v>
      </c>
      <c r="G269" s="23">
        <v>1075</v>
      </c>
      <c r="H269" s="23">
        <v>858</v>
      </c>
      <c r="I269" s="23">
        <v>1536</v>
      </c>
      <c r="J269" s="23">
        <v>0</v>
      </c>
      <c r="K269" s="23">
        <v>0</v>
      </c>
      <c r="L269" s="32" t="s">
        <v>402</v>
      </c>
    </row>
    <row r="270" spans="1:12" x14ac:dyDescent="0.2">
      <c r="A270" s="69">
        <v>45651</v>
      </c>
      <c r="B270" s="23">
        <v>1705</v>
      </c>
      <c r="C270" s="23">
        <v>2403</v>
      </c>
      <c r="D270" s="23">
        <v>4108</v>
      </c>
      <c r="E270" s="23">
        <v>3025</v>
      </c>
      <c r="F270" s="23">
        <v>0</v>
      </c>
      <c r="G270" s="23">
        <v>1083</v>
      </c>
      <c r="H270" s="23">
        <v>865</v>
      </c>
      <c r="I270" s="23">
        <v>1538</v>
      </c>
      <c r="J270" s="23">
        <v>0</v>
      </c>
      <c r="K270" s="23">
        <v>0</v>
      </c>
      <c r="L270" s="32" t="s">
        <v>403</v>
      </c>
    </row>
    <row r="271" spans="1:12" x14ac:dyDescent="0.2">
      <c r="A271" s="69">
        <v>45652</v>
      </c>
      <c r="B271" s="23">
        <v>1705</v>
      </c>
      <c r="C271" s="23">
        <v>2300</v>
      </c>
      <c r="D271" s="23">
        <v>4005</v>
      </c>
      <c r="E271" s="23">
        <v>3025</v>
      </c>
      <c r="F271" s="23">
        <v>0</v>
      </c>
      <c r="G271" s="23">
        <v>980</v>
      </c>
      <c r="H271" s="23">
        <v>833</v>
      </c>
      <c r="I271" s="23">
        <v>1467</v>
      </c>
      <c r="J271" s="23">
        <v>0</v>
      </c>
      <c r="K271" s="23">
        <v>0</v>
      </c>
      <c r="L271" s="32" t="s">
        <v>404</v>
      </c>
    </row>
    <row r="272" spans="1:12" x14ac:dyDescent="0.2">
      <c r="A272" s="69">
        <v>45653</v>
      </c>
      <c r="B272" s="23">
        <v>1705</v>
      </c>
      <c r="C272" s="23">
        <v>2287</v>
      </c>
      <c r="D272" s="23">
        <v>3992</v>
      </c>
      <c r="E272" s="23">
        <v>3025</v>
      </c>
      <c r="F272" s="23">
        <v>0</v>
      </c>
      <c r="G272" s="23">
        <v>967</v>
      </c>
      <c r="H272" s="23">
        <v>820</v>
      </c>
      <c r="I272" s="23">
        <v>1466</v>
      </c>
      <c r="J272" s="23">
        <v>0</v>
      </c>
      <c r="K272" s="23">
        <v>0</v>
      </c>
      <c r="L272" s="32" t="s">
        <v>405</v>
      </c>
    </row>
    <row r="273" spans="1:12" x14ac:dyDescent="0.2">
      <c r="A273" s="69">
        <v>45654</v>
      </c>
      <c r="B273" s="23">
        <v>1705</v>
      </c>
      <c r="C273" s="23">
        <v>2326</v>
      </c>
      <c r="D273" s="23">
        <v>4031</v>
      </c>
      <c r="E273" s="23">
        <v>3025</v>
      </c>
      <c r="F273" s="23">
        <v>0</v>
      </c>
      <c r="G273" s="23">
        <v>1006</v>
      </c>
      <c r="H273" s="23">
        <v>829</v>
      </c>
      <c r="I273" s="23">
        <v>1497</v>
      </c>
      <c r="J273" s="23">
        <v>0</v>
      </c>
      <c r="K273" s="23">
        <v>0</v>
      </c>
      <c r="L273" s="32" t="s">
        <v>406</v>
      </c>
    </row>
    <row r="274" spans="1:12" x14ac:dyDescent="0.2">
      <c r="A274" s="69">
        <v>45655</v>
      </c>
      <c r="B274" s="23">
        <v>1705</v>
      </c>
      <c r="C274" s="23">
        <v>2292</v>
      </c>
      <c r="D274" s="23">
        <v>3997</v>
      </c>
      <c r="E274" s="23">
        <v>3025</v>
      </c>
      <c r="F274" s="23">
        <v>0</v>
      </c>
      <c r="G274" s="23">
        <v>972</v>
      </c>
      <c r="H274" s="23">
        <v>816</v>
      </c>
      <c r="I274" s="23">
        <v>1476</v>
      </c>
      <c r="J274" s="23">
        <v>0</v>
      </c>
      <c r="K274" s="23">
        <v>0</v>
      </c>
      <c r="L274" s="32" t="s">
        <v>407</v>
      </c>
    </row>
    <row r="275" spans="1:12" x14ac:dyDescent="0.2">
      <c r="A275" s="69">
        <v>45656</v>
      </c>
      <c r="B275" s="23">
        <v>1705</v>
      </c>
      <c r="C275" s="23">
        <v>2286</v>
      </c>
      <c r="D275" s="23">
        <v>3991</v>
      </c>
      <c r="E275" s="23">
        <v>3025</v>
      </c>
      <c r="F275" s="23">
        <v>0</v>
      </c>
      <c r="G275" s="23">
        <v>966</v>
      </c>
      <c r="H275" s="23">
        <v>807</v>
      </c>
      <c r="I275" s="23">
        <v>1479</v>
      </c>
      <c r="J275" s="23">
        <v>0</v>
      </c>
      <c r="K275" s="23">
        <v>0</v>
      </c>
      <c r="L275" s="32" t="s">
        <v>408</v>
      </c>
    </row>
    <row r="276" spans="1:12" x14ac:dyDescent="0.2">
      <c r="A276" s="69">
        <v>45657</v>
      </c>
      <c r="B276" s="23">
        <v>1705</v>
      </c>
      <c r="C276" s="23">
        <v>2282</v>
      </c>
      <c r="D276" s="23">
        <v>3987</v>
      </c>
      <c r="E276" s="23">
        <v>3025</v>
      </c>
      <c r="F276" s="23">
        <v>0</v>
      </c>
      <c r="G276" s="23">
        <v>962</v>
      </c>
      <c r="H276" s="23">
        <v>814</v>
      </c>
      <c r="I276" s="23">
        <v>1468</v>
      </c>
      <c r="J276" s="23">
        <v>0</v>
      </c>
      <c r="K276" s="23">
        <v>0</v>
      </c>
      <c r="L276" s="32" t="s">
        <v>409</v>
      </c>
    </row>
    <row r="277" spans="1:12" x14ac:dyDescent="0.2">
      <c r="A277" s="69">
        <v>45658</v>
      </c>
      <c r="B277" s="23">
        <v>1705</v>
      </c>
      <c r="C277" s="23">
        <v>2301</v>
      </c>
      <c r="D277" s="23">
        <v>4006</v>
      </c>
      <c r="E277" s="23">
        <v>3025</v>
      </c>
      <c r="F277" s="23">
        <v>0</v>
      </c>
      <c r="G277" s="23">
        <v>981</v>
      </c>
      <c r="H277" s="23">
        <v>823</v>
      </c>
      <c r="I277" s="23">
        <v>1478</v>
      </c>
      <c r="J277" s="23">
        <v>0</v>
      </c>
      <c r="K277" s="23">
        <v>0</v>
      </c>
      <c r="L277" s="32" t="s">
        <v>410</v>
      </c>
    </row>
    <row r="278" spans="1:12" x14ac:dyDescent="0.2">
      <c r="A278" s="69">
        <v>45659</v>
      </c>
      <c r="B278" s="23">
        <v>1705</v>
      </c>
      <c r="C278" s="23">
        <v>2364</v>
      </c>
      <c r="D278" s="23">
        <v>4069</v>
      </c>
      <c r="E278" s="23">
        <v>3025</v>
      </c>
      <c r="F278" s="23">
        <v>0</v>
      </c>
      <c r="G278" s="23">
        <v>1044</v>
      </c>
      <c r="H278" s="23">
        <v>844</v>
      </c>
      <c r="I278" s="23">
        <v>1520</v>
      </c>
      <c r="J278" s="23">
        <v>0</v>
      </c>
      <c r="K278" s="23">
        <v>0</v>
      </c>
      <c r="L278" s="32" t="s">
        <v>411</v>
      </c>
    </row>
    <row r="279" spans="1:12" x14ac:dyDescent="0.2">
      <c r="A279" s="69">
        <v>45660</v>
      </c>
      <c r="B279" s="23">
        <v>1705</v>
      </c>
      <c r="C279" s="23">
        <v>2441</v>
      </c>
      <c r="D279" s="23">
        <v>4146</v>
      </c>
      <c r="E279" s="23">
        <v>3025</v>
      </c>
      <c r="F279" s="23">
        <v>0</v>
      </c>
      <c r="G279" s="23">
        <v>1121</v>
      </c>
      <c r="H279" s="23">
        <v>854</v>
      </c>
      <c r="I279" s="23">
        <v>1587</v>
      </c>
      <c r="J279" s="23">
        <v>0</v>
      </c>
      <c r="K279" s="23">
        <v>0</v>
      </c>
      <c r="L279" s="32" t="s">
        <v>412</v>
      </c>
    </row>
    <row r="280" spans="1:12" x14ac:dyDescent="0.2">
      <c r="A280" s="69">
        <v>45661</v>
      </c>
      <c r="B280" s="23">
        <v>1705</v>
      </c>
      <c r="C280" s="23">
        <v>2463</v>
      </c>
      <c r="D280" s="23">
        <v>4168</v>
      </c>
      <c r="E280" s="23">
        <v>3025</v>
      </c>
      <c r="F280" s="23">
        <v>0</v>
      </c>
      <c r="G280" s="23">
        <v>1143</v>
      </c>
      <c r="H280" s="23">
        <v>855</v>
      </c>
      <c r="I280" s="23">
        <v>1608</v>
      </c>
      <c r="J280" s="23">
        <v>0</v>
      </c>
      <c r="K280" s="23">
        <v>0</v>
      </c>
      <c r="L280" s="32" t="s">
        <v>413</v>
      </c>
    </row>
    <row r="281" spans="1:12" x14ac:dyDescent="0.2">
      <c r="A281" s="69">
        <v>45662</v>
      </c>
      <c r="B281" s="23">
        <v>1705</v>
      </c>
      <c r="C281" s="23">
        <v>2455</v>
      </c>
      <c r="D281" s="23">
        <v>4160</v>
      </c>
      <c r="E281" s="23">
        <v>3025</v>
      </c>
      <c r="F281" s="23">
        <v>0</v>
      </c>
      <c r="G281" s="23">
        <v>1135</v>
      </c>
      <c r="H281" s="23">
        <v>856</v>
      </c>
      <c r="I281" s="23">
        <v>1599</v>
      </c>
      <c r="J281" s="23">
        <v>0</v>
      </c>
      <c r="K281" s="23">
        <v>0</v>
      </c>
      <c r="L281" s="32" t="s">
        <v>414</v>
      </c>
    </row>
    <row r="282" spans="1:12" x14ac:dyDescent="0.2">
      <c r="A282" s="69">
        <v>45663</v>
      </c>
      <c r="B282" s="23">
        <v>1979</v>
      </c>
      <c r="C282" s="23">
        <v>2231</v>
      </c>
      <c r="D282" s="23">
        <v>4210</v>
      </c>
      <c r="E282" s="23">
        <v>3025</v>
      </c>
      <c r="F282" s="23">
        <v>0</v>
      </c>
      <c r="G282" s="23">
        <v>1185</v>
      </c>
      <c r="H282" s="23">
        <v>609</v>
      </c>
      <c r="I282" s="23">
        <v>1622</v>
      </c>
      <c r="J282" s="23">
        <v>0</v>
      </c>
      <c r="K282" s="23">
        <v>0</v>
      </c>
      <c r="L282" s="32" t="s">
        <v>415</v>
      </c>
    </row>
    <row r="283" spans="1:12" x14ac:dyDescent="0.2">
      <c r="A283" s="69">
        <v>45664</v>
      </c>
      <c r="B283" s="23">
        <v>1979</v>
      </c>
      <c r="C283" s="23">
        <v>2065</v>
      </c>
      <c r="D283" s="23">
        <v>4044</v>
      </c>
      <c r="E283" s="23">
        <v>3025</v>
      </c>
      <c r="F283" s="23">
        <v>0</v>
      </c>
      <c r="G283" s="23">
        <v>1019</v>
      </c>
      <c r="H283" s="23">
        <v>578</v>
      </c>
      <c r="I283" s="23">
        <v>1487</v>
      </c>
      <c r="J283" s="23">
        <v>0</v>
      </c>
      <c r="K283" s="23">
        <v>0</v>
      </c>
      <c r="L283" s="32" t="s">
        <v>416</v>
      </c>
    </row>
    <row r="284" spans="1:12" x14ac:dyDescent="0.2">
      <c r="A284" s="69">
        <v>45665</v>
      </c>
      <c r="B284" s="23">
        <v>1979</v>
      </c>
      <c r="C284" s="23">
        <v>2030</v>
      </c>
      <c r="D284" s="23">
        <v>4009</v>
      </c>
      <c r="E284" s="23">
        <v>3025</v>
      </c>
      <c r="F284" s="23">
        <v>0</v>
      </c>
      <c r="G284" s="23">
        <v>984</v>
      </c>
      <c r="H284" s="23">
        <v>567</v>
      </c>
      <c r="I284" s="23">
        <v>1463</v>
      </c>
      <c r="J284" s="23">
        <v>0</v>
      </c>
      <c r="K284" s="23">
        <v>0</v>
      </c>
      <c r="L284" s="32" t="s">
        <v>417</v>
      </c>
    </row>
    <row r="285" spans="1:12" x14ac:dyDescent="0.2">
      <c r="A285" s="69">
        <v>45666</v>
      </c>
      <c r="B285" s="23">
        <v>1979</v>
      </c>
      <c r="C285" s="23">
        <v>1967</v>
      </c>
      <c r="D285" s="23">
        <v>3946</v>
      </c>
      <c r="E285" s="23">
        <v>3025</v>
      </c>
      <c r="F285" s="23">
        <v>0</v>
      </c>
      <c r="G285" s="23">
        <v>921</v>
      </c>
      <c r="H285" s="23">
        <v>552</v>
      </c>
      <c r="I285" s="23">
        <v>1416</v>
      </c>
      <c r="J285" s="23">
        <v>0</v>
      </c>
      <c r="K285" s="23">
        <v>0</v>
      </c>
      <c r="L285" s="32" t="s">
        <v>418</v>
      </c>
    </row>
    <row r="286" spans="1:12" x14ac:dyDescent="0.2">
      <c r="A286" s="69">
        <v>45667</v>
      </c>
      <c r="B286" s="23">
        <v>1979</v>
      </c>
      <c r="C286" s="23">
        <v>2001</v>
      </c>
      <c r="D286" s="23">
        <v>3980</v>
      </c>
      <c r="E286" s="23">
        <v>3025</v>
      </c>
      <c r="F286" s="23">
        <v>0</v>
      </c>
      <c r="G286" s="23">
        <v>955</v>
      </c>
      <c r="H286" s="23">
        <v>565</v>
      </c>
      <c r="I286" s="23">
        <v>1437</v>
      </c>
      <c r="J286" s="23">
        <v>0</v>
      </c>
      <c r="K286" s="23">
        <v>0</v>
      </c>
      <c r="L286" s="32" t="s">
        <v>419</v>
      </c>
    </row>
    <row r="287" spans="1:12" x14ac:dyDescent="0.2">
      <c r="A287" s="69">
        <v>45668</v>
      </c>
      <c r="B287" s="23">
        <v>1979</v>
      </c>
      <c r="C287" s="23">
        <v>2008</v>
      </c>
      <c r="D287" s="23">
        <v>3987</v>
      </c>
      <c r="E287" s="23">
        <v>3025</v>
      </c>
      <c r="F287" s="23">
        <v>0</v>
      </c>
      <c r="G287" s="23">
        <v>962</v>
      </c>
      <c r="H287" s="23">
        <v>564</v>
      </c>
      <c r="I287" s="23">
        <v>1444</v>
      </c>
      <c r="J287" s="23">
        <v>0</v>
      </c>
      <c r="K287" s="23">
        <v>0</v>
      </c>
      <c r="L287" s="32" t="s">
        <v>420</v>
      </c>
    </row>
    <row r="288" spans="1:12" x14ac:dyDescent="0.2">
      <c r="A288" s="69">
        <v>45669</v>
      </c>
      <c r="B288" s="23">
        <v>1979</v>
      </c>
      <c r="C288" s="23">
        <v>2001</v>
      </c>
      <c r="D288" s="23">
        <v>3979</v>
      </c>
      <c r="E288" s="23">
        <v>3025</v>
      </c>
      <c r="F288" s="23">
        <v>0</v>
      </c>
      <c r="G288" s="23">
        <v>954</v>
      </c>
      <c r="H288" s="23">
        <v>563</v>
      </c>
      <c r="I288" s="23">
        <v>1437</v>
      </c>
      <c r="J288" s="23">
        <v>0</v>
      </c>
      <c r="K288" s="23">
        <v>0</v>
      </c>
      <c r="L288" s="32" t="s">
        <v>421</v>
      </c>
    </row>
    <row r="289" spans="1:12" x14ac:dyDescent="0.2">
      <c r="A289" s="69">
        <v>45670</v>
      </c>
      <c r="B289" s="23">
        <v>1950</v>
      </c>
      <c r="C289" s="23">
        <v>2092</v>
      </c>
      <c r="D289" s="23">
        <v>4042</v>
      </c>
      <c r="E289" s="23">
        <v>3140</v>
      </c>
      <c r="F289" s="23">
        <v>0</v>
      </c>
      <c r="G289" s="23">
        <v>902</v>
      </c>
      <c r="H289" s="23">
        <v>563</v>
      </c>
      <c r="I289" s="23">
        <v>1529</v>
      </c>
      <c r="J289" s="23">
        <v>0</v>
      </c>
      <c r="K289" s="23">
        <v>0</v>
      </c>
      <c r="L289" s="32" t="s">
        <v>422</v>
      </c>
    </row>
    <row r="290" spans="1:12" x14ac:dyDescent="0.2">
      <c r="A290" s="69">
        <v>45671</v>
      </c>
      <c r="B290" s="23">
        <v>1950</v>
      </c>
      <c r="C290" s="23">
        <v>2147</v>
      </c>
      <c r="D290" s="23">
        <v>4097</v>
      </c>
      <c r="E290" s="23">
        <v>3140</v>
      </c>
      <c r="F290" s="23">
        <v>0</v>
      </c>
      <c r="G290" s="23">
        <v>957</v>
      </c>
      <c r="H290" s="23">
        <v>576</v>
      </c>
      <c r="I290" s="23">
        <v>1572</v>
      </c>
      <c r="J290" s="23">
        <v>0</v>
      </c>
      <c r="K290" s="23">
        <v>0</v>
      </c>
      <c r="L290" s="32" t="s">
        <v>423</v>
      </c>
    </row>
    <row r="291" spans="1:12" x14ac:dyDescent="0.2">
      <c r="A291" s="69">
        <v>45672</v>
      </c>
      <c r="B291" s="23">
        <v>2268</v>
      </c>
      <c r="C291" s="23">
        <v>1958</v>
      </c>
      <c r="D291" s="23">
        <v>4226</v>
      </c>
      <c r="E291" s="23">
        <v>3140</v>
      </c>
      <c r="F291" s="23">
        <v>0</v>
      </c>
      <c r="G291" s="23">
        <v>1086</v>
      </c>
      <c r="H291" s="23">
        <v>276</v>
      </c>
      <c r="I291" s="23">
        <v>1682</v>
      </c>
      <c r="J291" s="23">
        <v>0</v>
      </c>
      <c r="K291" s="23">
        <v>0</v>
      </c>
      <c r="L291" s="32" t="s">
        <v>424</v>
      </c>
    </row>
    <row r="292" spans="1:12" x14ac:dyDescent="0.2">
      <c r="A292" s="69">
        <v>45673</v>
      </c>
      <c r="B292" s="23">
        <v>2268</v>
      </c>
      <c r="C292" s="23">
        <v>1886</v>
      </c>
      <c r="D292" s="23">
        <v>4155</v>
      </c>
      <c r="E292" s="23">
        <v>3140</v>
      </c>
      <c r="F292" s="23">
        <v>0</v>
      </c>
      <c r="G292" s="23">
        <v>1014</v>
      </c>
      <c r="H292" s="23">
        <v>275</v>
      </c>
      <c r="I292" s="23">
        <v>1612</v>
      </c>
      <c r="J292" s="23">
        <v>0</v>
      </c>
      <c r="K292" s="23">
        <v>0</v>
      </c>
      <c r="L292" s="32" t="s">
        <v>425</v>
      </c>
    </row>
    <row r="293" spans="1:12" x14ac:dyDescent="0.2">
      <c r="A293" s="69">
        <v>45674</v>
      </c>
      <c r="B293" s="23">
        <v>2268</v>
      </c>
      <c r="C293" s="23">
        <v>1978</v>
      </c>
      <c r="D293" s="23">
        <v>4247</v>
      </c>
      <c r="E293" s="23">
        <v>3140</v>
      </c>
      <c r="F293" s="23">
        <v>0</v>
      </c>
      <c r="G293" s="23">
        <v>1106</v>
      </c>
      <c r="H293" s="23">
        <v>286</v>
      </c>
      <c r="I293" s="23">
        <v>1692</v>
      </c>
      <c r="J293" s="23">
        <v>0</v>
      </c>
      <c r="K293" s="23">
        <v>0</v>
      </c>
      <c r="L293" s="32" t="s">
        <v>426</v>
      </c>
    </row>
    <row r="294" spans="1:12" x14ac:dyDescent="0.2">
      <c r="A294" s="69">
        <v>45675</v>
      </c>
      <c r="B294" s="23">
        <v>2268</v>
      </c>
      <c r="C294" s="23">
        <v>1899</v>
      </c>
      <c r="D294" s="23">
        <v>4167</v>
      </c>
      <c r="E294" s="23">
        <v>3140</v>
      </c>
      <c r="F294" s="23">
        <v>0</v>
      </c>
      <c r="G294" s="23">
        <v>1027</v>
      </c>
      <c r="H294" s="23">
        <v>287</v>
      </c>
      <c r="I294" s="23">
        <v>1612</v>
      </c>
      <c r="J294" s="23">
        <v>0</v>
      </c>
      <c r="K294" s="23">
        <v>0</v>
      </c>
      <c r="L294" s="32" t="s">
        <v>427</v>
      </c>
    </row>
    <row r="295" spans="1:12" x14ac:dyDescent="0.2">
      <c r="A295" s="69">
        <v>45676</v>
      </c>
      <c r="B295" s="23">
        <v>2356</v>
      </c>
      <c r="C295" s="23">
        <v>1759</v>
      </c>
      <c r="D295" s="23">
        <v>4115</v>
      </c>
      <c r="E295" s="23">
        <v>3140</v>
      </c>
      <c r="F295" s="23">
        <v>0</v>
      </c>
      <c r="G295" s="23">
        <v>975</v>
      </c>
      <c r="H295" s="23">
        <v>193</v>
      </c>
      <c r="I295" s="23">
        <v>1566</v>
      </c>
      <c r="J295" s="23">
        <v>0</v>
      </c>
      <c r="K295" s="23">
        <v>0</v>
      </c>
      <c r="L295" s="32" t="s">
        <v>428</v>
      </c>
    </row>
    <row r="296" spans="1:12" x14ac:dyDescent="0.2">
      <c r="A296" s="69">
        <v>45677</v>
      </c>
      <c r="B296" s="23">
        <v>2356</v>
      </c>
      <c r="C296" s="23">
        <v>1795</v>
      </c>
      <c r="D296" s="23">
        <v>4151</v>
      </c>
      <c r="E296" s="23">
        <v>3140</v>
      </c>
      <c r="F296" s="23">
        <v>0</v>
      </c>
      <c r="G296" s="23">
        <v>1010</v>
      </c>
      <c r="H296" s="23">
        <v>194</v>
      </c>
      <c r="I296" s="23">
        <v>1600</v>
      </c>
      <c r="J296" s="23">
        <v>0</v>
      </c>
      <c r="K296" s="23">
        <v>0</v>
      </c>
      <c r="L296" s="32" t="s">
        <v>429</v>
      </c>
    </row>
    <row r="297" spans="1:12" x14ac:dyDescent="0.2">
      <c r="A297" s="69">
        <v>45678</v>
      </c>
      <c r="B297" s="23">
        <v>2741</v>
      </c>
      <c r="C297" s="23">
        <v>1823</v>
      </c>
      <c r="D297" s="23">
        <v>4564</v>
      </c>
      <c r="E297" s="23">
        <v>3525</v>
      </c>
      <c r="F297" s="23">
        <v>0</v>
      </c>
      <c r="G297" s="23">
        <v>1039</v>
      </c>
      <c r="H297" s="23">
        <v>202</v>
      </c>
      <c r="I297" s="23">
        <v>1621</v>
      </c>
      <c r="J297" s="23">
        <v>0</v>
      </c>
      <c r="K297" s="23">
        <v>0</v>
      </c>
      <c r="L297" s="32" t="s">
        <v>430</v>
      </c>
    </row>
    <row r="298" spans="1:12" x14ac:dyDescent="0.2">
      <c r="A298" s="69">
        <v>45679</v>
      </c>
      <c r="B298" s="23">
        <v>2741</v>
      </c>
      <c r="C298" s="23">
        <v>1777</v>
      </c>
      <c r="D298" s="23">
        <v>4518</v>
      </c>
      <c r="E298" s="23">
        <v>3525</v>
      </c>
      <c r="F298" s="23">
        <v>0</v>
      </c>
      <c r="G298" s="23">
        <v>993</v>
      </c>
      <c r="H298" s="23">
        <v>197</v>
      </c>
      <c r="I298" s="23">
        <v>1580</v>
      </c>
      <c r="J298" s="23">
        <v>0</v>
      </c>
      <c r="K298" s="23">
        <v>0</v>
      </c>
      <c r="L298" s="32" t="s">
        <v>431</v>
      </c>
    </row>
    <row r="299" spans="1:12" x14ac:dyDescent="0.2">
      <c r="A299" s="69">
        <v>45680</v>
      </c>
      <c r="B299" s="23">
        <v>2741</v>
      </c>
      <c r="C299" s="23">
        <v>1824</v>
      </c>
      <c r="D299" s="23">
        <v>4565</v>
      </c>
      <c r="E299" s="23">
        <v>3525</v>
      </c>
      <c r="F299" s="23">
        <v>0</v>
      </c>
      <c r="G299" s="23">
        <v>1040</v>
      </c>
      <c r="H299" s="23">
        <v>198</v>
      </c>
      <c r="I299" s="23">
        <v>1626</v>
      </c>
      <c r="J299" s="23">
        <v>0</v>
      </c>
      <c r="K299" s="23">
        <v>0</v>
      </c>
      <c r="L299" s="32" t="s">
        <v>432</v>
      </c>
    </row>
    <row r="300" spans="1:12" x14ac:dyDescent="0.2">
      <c r="A300" s="69">
        <v>45681</v>
      </c>
      <c r="B300" s="23">
        <v>2741</v>
      </c>
      <c r="C300" s="23">
        <v>1812</v>
      </c>
      <c r="D300" s="23">
        <v>4553</v>
      </c>
      <c r="E300" s="23">
        <v>3525</v>
      </c>
      <c r="F300" s="23">
        <v>0</v>
      </c>
      <c r="G300" s="23">
        <v>1028</v>
      </c>
      <c r="H300" s="23">
        <v>199</v>
      </c>
      <c r="I300" s="23">
        <v>1613</v>
      </c>
      <c r="J300" s="23">
        <v>0</v>
      </c>
      <c r="K300" s="23">
        <v>0</v>
      </c>
      <c r="L300" s="32" t="s">
        <v>433</v>
      </c>
    </row>
    <row r="301" spans="1:12" x14ac:dyDescent="0.2">
      <c r="A301" s="69">
        <v>45682</v>
      </c>
      <c r="B301" s="23">
        <v>2741</v>
      </c>
      <c r="C301" s="23">
        <v>1816</v>
      </c>
      <c r="D301" s="23">
        <v>4557</v>
      </c>
      <c r="E301" s="23">
        <v>3525</v>
      </c>
      <c r="F301" s="23">
        <v>0</v>
      </c>
      <c r="G301" s="23">
        <v>1032</v>
      </c>
      <c r="H301" s="23">
        <v>199</v>
      </c>
      <c r="I301" s="23">
        <v>1617</v>
      </c>
      <c r="J301" s="23">
        <v>0</v>
      </c>
      <c r="K301" s="23">
        <v>0</v>
      </c>
      <c r="L301" s="32" t="s">
        <v>434</v>
      </c>
    </row>
    <row r="302" spans="1:12" x14ac:dyDescent="0.2">
      <c r="A302" s="69">
        <v>45683</v>
      </c>
      <c r="B302" s="23">
        <v>2741</v>
      </c>
      <c r="C302" s="23">
        <v>1770</v>
      </c>
      <c r="D302" s="23">
        <v>4511</v>
      </c>
      <c r="E302" s="23">
        <v>3525</v>
      </c>
      <c r="F302" s="23">
        <v>0</v>
      </c>
      <c r="G302" s="23">
        <v>986</v>
      </c>
      <c r="H302" s="23">
        <v>195</v>
      </c>
      <c r="I302" s="23">
        <v>1575</v>
      </c>
      <c r="J302" s="23">
        <v>0</v>
      </c>
      <c r="K302" s="23">
        <v>0</v>
      </c>
      <c r="L302" s="32" t="s">
        <v>435</v>
      </c>
    </row>
    <row r="303" spans="1:12" x14ac:dyDescent="0.2">
      <c r="A303" s="69">
        <v>45684</v>
      </c>
      <c r="B303" s="23">
        <v>2741</v>
      </c>
      <c r="C303" s="23">
        <v>1745</v>
      </c>
      <c r="D303" s="23">
        <v>4486</v>
      </c>
      <c r="E303" s="23">
        <v>3525</v>
      </c>
      <c r="F303" s="23">
        <v>0</v>
      </c>
      <c r="G303" s="23">
        <v>961</v>
      </c>
      <c r="H303" s="23">
        <v>194</v>
      </c>
      <c r="I303" s="23">
        <v>1551</v>
      </c>
      <c r="J303" s="23">
        <v>0</v>
      </c>
      <c r="K303" s="23">
        <v>0</v>
      </c>
      <c r="L303" s="32" t="s">
        <v>436</v>
      </c>
    </row>
    <row r="304" spans="1:12" x14ac:dyDescent="0.2">
      <c r="A304" s="69">
        <v>45685</v>
      </c>
      <c r="B304" s="23">
        <v>2741</v>
      </c>
      <c r="C304" s="23">
        <v>1692</v>
      </c>
      <c r="D304" s="23">
        <v>4433</v>
      </c>
      <c r="E304" s="23">
        <v>3525</v>
      </c>
      <c r="F304" s="23">
        <v>0</v>
      </c>
      <c r="G304" s="23">
        <v>908</v>
      </c>
      <c r="H304" s="23">
        <v>193</v>
      </c>
      <c r="I304" s="23">
        <v>1500</v>
      </c>
      <c r="J304" s="23">
        <v>0</v>
      </c>
      <c r="K304" s="23">
        <v>0</v>
      </c>
      <c r="L304" s="32" t="s">
        <v>437</v>
      </c>
    </row>
    <row r="305" spans="1:12" x14ac:dyDescent="0.2">
      <c r="A305" s="69">
        <v>45686</v>
      </c>
      <c r="B305" s="23">
        <v>2741</v>
      </c>
      <c r="C305" s="23">
        <v>1714</v>
      </c>
      <c r="D305" s="23">
        <v>4455</v>
      </c>
      <c r="E305" s="23">
        <v>3525</v>
      </c>
      <c r="F305" s="23">
        <v>0</v>
      </c>
      <c r="G305" s="23">
        <v>930</v>
      </c>
      <c r="H305" s="23">
        <v>197</v>
      </c>
      <c r="I305" s="23">
        <v>1517</v>
      </c>
      <c r="J305" s="23">
        <v>0</v>
      </c>
      <c r="K305" s="23">
        <v>0</v>
      </c>
      <c r="L305" s="32" t="s">
        <v>438</v>
      </c>
    </row>
    <row r="306" spans="1:12" x14ac:dyDescent="0.2">
      <c r="A306" s="69">
        <v>45687</v>
      </c>
      <c r="B306" s="23">
        <v>2741</v>
      </c>
      <c r="C306" s="23">
        <v>1781</v>
      </c>
      <c r="D306" s="23">
        <v>4522</v>
      </c>
      <c r="E306" s="23">
        <v>3525</v>
      </c>
      <c r="F306" s="23">
        <v>0</v>
      </c>
      <c r="G306" s="23">
        <v>997</v>
      </c>
      <c r="H306" s="23">
        <v>199</v>
      </c>
      <c r="I306" s="23">
        <v>1582</v>
      </c>
      <c r="J306" s="23">
        <v>0</v>
      </c>
      <c r="K306" s="23">
        <v>0</v>
      </c>
      <c r="L306" s="32" t="s">
        <v>439</v>
      </c>
    </row>
    <row r="307" spans="1:12" x14ac:dyDescent="0.2">
      <c r="A307" s="69">
        <v>45688</v>
      </c>
      <c r="B307" s="23">
        <v>2741</v>
      </c>
      <c r="C307" s="23">
        <v>1803</v>
      </c>
      <c r="D307" s="23">
        <v>4544</v>
      </c>
      <c r="E307" s="23">
        <v>3525</v>
      </c>
      <c r="F307" s="23">
        <v>0</v>
      </c>
      <c r="G307" s="23">
        <v>1019</v>
      </c>
      <c r="H307" s="23">
        <v>195</v>
      </c>
      <c r="I307" s="23">
        <v>1608</v>
      </c>
      <c r="J307" s="23">
        <v>0</v>
      </c>
      <c r="K307" s="23">
        <v>0</v>
      </c>
      <c r="L307" s="32" t="s">
        <v>440</v>
      </c>
    </row>
    <row r="308" spans="1:12" x14ac:dyDescent="0.2">
      <c r="A308" s="69">
        <v>45689</v>
      </c>
      <c r="B308" s="23">
        <v>2741</v>
      </c>
      <c r="C308" s="23">
        <v>1710</v>
      </c>
      <c r="D308" s="23">
        <v>4451</v>
      </c>
      <c r="E308" s="23">
        <v>3525</v>
      </c>
      <c r="F308" s="23">
        <v>0</v>
      </c>
      <c r="G308" s="23">
        <v>926</v>
      </c>
      <c r="H308" s="23">
        <v>191</v>
      </c>
      <c r="I308" s="23">
        <v>1519</v>
      </c>
      <c r="J308" s="23">
        <v>0</v>
      </c>
      <c r="K308" s="23">
        <v>0</v>
      </c>
      <c r="L308" s="32" t="s">
        <v>441</v>
      </c>
    </row>
    <row r="309" spans="1:12" x14ac:dyDescent="0.2">
      <c r="A309" s="69">
        <v>45690</v>
      </c>
      <c r="B309" s="23">
        <v>2741</v>
      </c>
      <c r="C309" s="23">
        <v>1584</v>
      </c>
      <c r="D309" s="23">
        <v>4325</v>
      </c>
      <c r="E309" s="23">
        <v>3525</v>
      </c>
      <c r="F309" s="23">
        <v>0</v>
      </c>
      <c r="G309" s="23">
        <v>800</v>
      </c>
      <c r="H309" s="23">
        <v>186</v>
      </c>
      <c r="I309" s="23">
        <v>1398</v>
      </c>
      <c r="J309" s="23">
        <v>0</v>
      </c>
      <c r="K309" s="23">
        <v>0</v>
      </c>
      <c r="L309" s="32" t="s">
        <v>442</v>
      </c>
    </row>
    <row r="310" spans="1:12" x14ac:dyDescent="0.2">
      <c r="A310" s="69">
        <v>45691</v>
      </c>
      <c r="B310" s="23">
        <v>2741</v>
      </c>
      <c r="C310" s="23">
        <v>1596</v>
      </c>
      <c r="D310" s="23">
        <v>4337</v>
      </c>
      <c r="E310" s="23">
        <v>3525</v>
      </c>
      <c r="F310" s="23">
        <v>0</v>
      </c>
      <c r="G310" s="23">
        <v>812</v>
      </c>
      <c r="H310" s="23">
        <v>193</v>
      </c>
      <c r="I310" s="23">
        <v>1403</v>
      </c>
      <c r="J310" s="23">
        <v>0</v>
      </c>
      <c r="K310" s="23">
        <v>0</v>
      </c>
      <c r="L310" s="32" t="s">
        <v>443</v>
      </c>
    </row>
    <row r="311" spans="1:12" x14ac:dyDescent="0.2">
      <c r="A311" s="69">
        <v>45692</v>
      </c>
      <c r="B311" s="23">
        <v>2741</v>
      </c>
      <c r="C311" s="23">
        <v>1517</v>
      </c>
      <c r="D311" s="23">
        <v>4257</v>
      </c>
      <c r="E311" s="23">
        <v>3525</v>
      </c>
      <c r="F311" s="23">
        <v>0</v>
      </c>
      <c r="G311" s="23">
        <v>732</v>
      </c>
      <c r="H311" s="23">
        <v>186</v>
      </c>
      <c r="I311" s="23">
        <v>1331</v>
      </c>
      <c r="J311" s="23">
        <v>0</v>
      </c>
      <c r="K311" s="23">
        <v>0</v>
      </c>
      <c r="L311" s="32" t="s">
        <v>444</v>
      </c>
    </row>
    <row r="312" spans="1:12" x14ac:dyDescent="0.2">
      <c r="A312" s="69">
        <v>45693</v>
      </c>
      <c r="B312" s="23">
        <v>2741</v>
      </c>
      <c r="C312" s="23">
        <v>1542</v>
      </c>
      <c r="D312" s="23">
        <v>4283</v>
      </c>
      <c r="E312" s="23">
        <v>3525</v>
      </c>
      <c r="F312" s="23">
        <v>0</v>
      </c>
      <c r="G312" s="23">
        <v>758</v>
      </c>
      <c r="H312" s="23">
        <v>184</v>
      </c>
      <c r="I312" s="23">
        <v>1358</v>
      </c>
      <c r="J312" s="23">
        <v>0</v>
      </c>
      <c r="K312" s="23">
        <v>0</v>
      </c>
      <c r="L312" s="32" t="s">
        <v>445</v>
      </c>
    </row>
    <row r="313" spans="1:12" x14ac:dyDescent="0.2">
      <c r="A313" s="69">
        <v>45694</v>
      </c>
      <c r="B313" s="23">
        <v>2741</v>
      </c>
      <c r="C313" s="23">
        <v>1493</v>
      </c>
      <c r="D313" s="23">
        <v>4233</v>
      </c>
      <c r="E313" s="23">
        <v>3525</v>
      </c>
      <c r="F313" s="23">
        <v>0</v>
      </c>
      <c r="G313" s="23">
        <v>708</v>
      </c>
      <c r="H313" s="23">
        <v>184</v>
      </c>
      <c r="I313" s="23">
        <v>1309</v>
      </c>
      <c r="J313" s="23">
        <v>0</v>
      </c>
      <c r="K313" s="23">
        <v>0</v>
      </c>
      <c r="L313" s="32" t="s">
        <v>446</v>
      </c>
    </row>
    <row r="314" spans="1:12" x14ac:dyDescent="0.2">
      <c r="A314" s="69">
        <v>45695</v>
      </c>
      <c r="B314" s="23">
        <v>2741</v>
      </c>
      <c r="C314" s="23">
        <v>1461</v>
      </c>
      <c r="D314" s="23">
        <v>4202</v>
      </c>
      <c r="E314" s="23">
        <v>3525</v>
      </c>
      <c r="F314" s="23">
        <v>0</v>
      </c>
      <c r="G314" s="23">
        <v>677</v>
      </c>
      <c r="H314" s="23">
        <v>184</v>
      </c>
      <c r="I314" s="23">
        <v>1278</v>
      </c>
      <c r="J314" s="23">
        <v>0</v>
      </c>
      <c r="K314" s="23">
        <v>0</v>
      </c>
      <c r="L314" s="32" t="s">
        <v>447</v>
      </c>
    </row>
    <row r="315" spans="1:12" x14ac:dyDescent="0.2">
      <c r="A315" s="69">
        <v>45696</v>
      </c>
      <c r="B315" s="23">
        <v>2741</v>
      </c>
      <c r="C315" s="23">
        <v>1466</v>
      </c>
      <c r="D315" s="23">
        <v>4207</v>
      </c>
      <c r="E315" s="23">
        <v>3525</v>
      </c>
      <c r="F315" s="23">
        <v>0</v>
      </c>
      <c r="G315" s="23">
        <v>682</v>
      </c>
      <c r="H315" s="23">
        <v>183</v>
      </c>
      <c r="I315" s="23">
        <v>1283</v>
      </c>
      <c r="J315" s="23">
        <v>0</v>
      </c>
      <c r="K315" s="23">
        <v>0</v>
      </c>
      <c r="L315" s="32" t="s">
        <v>448</v>
      </c>
    </row>
    <row r="316" spans="1:12" x14ac:dyDescent="0.2">
      <c r="A316" s="69">
        <v>45697</v>
      </c>
      <c r="B316" s="23">
        <v>2741</v>
      </c>
      <c r="C316" s="23">
        <v>1463</v>
      </c>
      <c r="D316" s="23">
        <v>4204</v>
      </c>
      <c r="E316" s="23">
        <v>3525</v>
      </c>
      <c r="F316" s="23">
        <v>0</v>
      </c>
      <c r="G316" s="23">
        <v>679</v>
      </c>
      <c r="H316" s="23">
        <v>183</v>
      </c>
      <c r="I316" s="23">
        <v>1280</v>
      </c>
      <c r="J316" s="23">
        <v>0</v>
      </c>
      <c r="K316" s="23">
        <v>0</v>
      </c>
      <c r="L316" s="32" t="s">
        <v>449</v>
      </c>
    </row>
    <row r="317" spans="1:12" x14ac:dyDescent="0.2">
      <c r="A317" s="69">
        <v>45698</v>
      </c>
      <c r="B317" s="23">
        <v>2741</v>
      </c>
      <c r="C317" s="23">
        <v>1482</v>
      </c>
      <c r="D317" s="23">
        <v>4223</v>
      </c>
      <c r="E317" s="23">
        <v>3525</v>
      </c>
      <c r="F317" s="23">
        <v>0</v>
      </c>
      <c r="G317" s="23">
        <v>698</v>
      </c>
      <c r="H317" s="23">
        <v>185</v>
      </c>
      <c r="I317" s="23">
        <v>1297</v>
      </c>
      <c r="J317" s="23">
        <v>0</v>
      </c>
      <c r="K317" s="23">
        <v>0</v>
      </c>
      <c r="L317" s="32" t="s">
        <v>450</v>
      </c>
    </row>
    <row r="318" spans="1:12" x14ac:dyDescent="0.2">
      <c r="A318" s="69">
        <v>45699</v>
      </c>
      <c r="B318" s="23">
        <v>2741</v>
      </c>
      <c r="C318" s="23">
        <v>1450</v>
      </c>
      <c r="D318" s="23">
        <v>4191</v>
      </c>
      <c r="E318" s="23">
        <v>3525</v>
      </c>
      <c r="F318" s="23">
        <v>0</v>
      </c>
      <c r="G318" s="23">
        <v>666</v>
      </c>
      <c r="H318" s="23">
        <v>182</v>
      </c>
      <c r="I318" s="23">
        <v>1268</v>
      </c>
      <c r="J318" s="23">
        <v>0</v>
      </c>
      <c r="K318" s="23">
        <v>0</v>
      </c>
      <c r="L318" s="32" t="s">
        <v>451</v>
      </c>
    </row>
    <row r="319" spans="1:12" x14ac:dyDescent="0.2">
      <c r="A319" s="69">
        <v>45700</v>
      </c>
      <c r="B319" s="23">
        <v>2741</v>
      </c>
      <c r="C319" s="23">
        <v>1520</v>
      </c>
      <c r="D319" s="23">
        <v>4261</v>
      </c>
      <c r="E319" s="23">
        <v>3525</v>
      </c>
      <c r="F319" s="23">
        <v>0</v>
      </c>
      <c r="G319" s="23">
        <v>736</v>
      </c>
      <c r="H319" s="23">
        <v>186</v>
      </c>
      <c r="I319" s="23">
        <v>1334</v>
      </c>
      <c r="J319" s="23">
        <v>0</v>
      </c>
      <c r="K319" s="23">
        <v>0</v>
      </c>
      <c r="L319" s="32" t="s">
        <v>452</v>
      </c>
    </row>
    <row r="320" spans="1:12" x14ac:dyDescent="0.2">
      <c r="A320" s="69">
        <v>45701</v>
      </c>
      <c r="B320" s="23">
        <v>2741</v>
      </c>
      <c r="C320" s="23">
        <v>1487</v>
      </c>
      <c r="D320" s="23">
        <v>4228</v>
      </c>
      <c r="E320" s="23">
        <v>3525</v>
      </c>
      <c r="F320" s="23">
        <v>0</v>
      </c>
      <c r="G320" s="23">
        <v>703</v>
      </c>
      <c r="H320" s="23">
        <v>184</v>
      </c>
      <c r="I320" s="23">
        <v>1304</v>
      </c>
      <c r="J320" s="23">
        <v>0</v>
      </c>
      <c r="K320" s="23">
        <v>0</v>
      </c>
      <c r="L320" s="32" t="s">
        <v>453</v>
      </c>
    </row>
    <row r="321" spans="1:12" x14ac:dyDescent="0.2">
      <c r="A321" s="69">
        <v>45702</v>
      </c>
      <c r="B321" s="23">
        <v>2741</v>
      </c>
      <c r="C321" s="23">
        <v>1514</v>
      </c>
      <c r="D321" s="23">
        <v>4254</v>
      </c>
      <c r="E321" s="23">
        <v>3525</v>
      </c>
      <c r="F321" s="23">
        <v>0</v>
      </c>
      <c r="G321" s="23">
        <v>729</v>
      </c>
      <c r="H321" s="23">
        <v>185</v>
      </c>
      <c r="I321" s="23">
        <v>1328</v>
      </c>
      <c r="J321" s="23">
        <v>0</v>
      </c>
      <c r="K321" s="23">
        <v>0</v>
      </c>
      <c r="L321" s="32" t="s">
        <v>454</v>
      </c>
    </row>
    <row r="322" spans="1:12" x14ac:dyDescent="0.2">
      <c r="A322" s="69">
        <v>45703</v>
      </c>
      <c r="B322" s="23">
        <v>2741</v>
      </c>
      <c r="C322" s="23">
        <v>1498</v>
      </c>
      <c r="D322" s="23">
        <v>4238</v>
      </c>
      <c r="E322" s="23">
        <v>3525</v>
      </c>
      <c r="F322" s="23">
        <v>0</v>
      </c>
      <c r="G322" s="23">
        <v>714</v>
      </c>
      <c r="H322" s="23">
        <v>186</v>
      </c>
      <c r="I322" s="23">
        <v>1312</v>
      </c>
      <c r="J322" s="23">
        <v>0</v>
      </c>
      <c r="K322" s="23">
        <v>0</v>
      </c>
      <c r="L322" s="32" t="s">
        <v>455</v>
      </c>
    </row>
    <row r="323" spans="1:12" x14ac:dyDescent="0.2">
      <c r="A323" s="69">
        <v>45704</v>
      </c>
      <c r="B323" s="23">
        <v>2741</v>
      </c>
      <c r="C323" s="23">
        <v>1479</v>
      </c>
      <c r="D323" s="23">
        <v>4220</v>
      </c>
      <c r="E323" s="23">
        <v>3525</v>
      </c>
      <c r="F323" s="23">
        <v>0</v>
      </c>
      <c r="G323" s="23">
        <v>695</v>
      </c>
      <c r="H323" s="23">
        <v>183</v>
      </c>
      <c r="I323" s="23">
        <v>1297</v>
      </c>
      <c r="J323" s="23">
        <v>0</v>
      </c>
      <c r="K323" s="23">
        <v>0</v>
      </c>
      <c r="L323" s="32" t="s">
        <v>456</v>
      </c>
    </row>
    <row r="324" spans="1:12" x14ac:dyDescent="0.2">
      <c r="A324" s="69">
        <v>45705</v>
      </c>
      <c r="B324" s="23">
        <v>2741</v>
      </c>
      <c r="C324" s="23">
        <v>1519</v>
      </c>
      <c r="D324" s="23">
        <v>4260</v>
      </c>
      <c r="E324" s="23">
        <v>3525</v>
      </c>
      <c r="F324" s="23">
        <v>0</v>
      </c>
      <c r="G324" s="23">
        <v>735</v>
      </c>
      <c r="H324" s="23">
        <v>182</v>
      </c>
      <c r="I324" s="23">
        <v>1337</v>
      </c>
      <c r="J324" s="23">
        <v>0</v>
      </c>
      <c r="K324" s="23">
        <v>0</v>
      </c>
      <c r="L324" s="32" t="s">
        <v>457</v>
      </c>
    </row>
    <row r="325" spans="1:12" x14ac:dyDescent="0.2">
      <c r="A325" s="69">
        <v>45706</v>
      </c>
      <c r="B325" s="23">
        <v>2741</v>
      </c>
      <c r="C325" s="23">
        <v>1484</v>
      </c>
      <c r="D325" s="23">
        <v>4225</v>
      </c>
      <c r="E325" s="23">
        <v>3525</v>
      </c>
      <c r="F325" s="23">
        <v>0</v>
      </c>
      <c r="G325" s="23">
        <v>700</v>
      </c>
      <c r="H325" s="23">
        <v>182</v>
      </c>
      <c r="I325" s="23">
        <v>1302</v>
      </c>
      <c r="J325" s="23">
        <v>0</v>
      </c>
      <c r="K325" s="23">
        <v>0</v>
      </c>
      <c r="L325" s="32" t="s">
        <v>458</v>
      </c>
    </row>
    <row r="326" spans="1:12" x14ac:dyDescent="0.2">
      <c r="A326" s="69">
        <v>45707</v>
      </c>
      <c r="B326" s="23">
        <v>2741</v>
      </c>
      <c r="C326" s="23">
        <v>1507</v>
      </c>
      <c r="D326" s="23">
        <v>4248</v>
      </c>
      <c r="E326" s="23">
        <v>3525</v>
      </c>
      <c r="F326" s="23">
        <v>0</v>
      </c>
      <c r="G326" s="23">
        <v>723</v>
      </c>
      <c r="H326" s="23">
        <v>184</v>
      </c>
      <c r="I326" s="23">
        <v>1323</v>
      </c>
      <c r="J326" s="23">
        <v>0</v>
      </c>
      <c r="K326" s="23">
        <v>0</v>
      </c>
      <c r="L326" s="32" t="s">
        <v>459</v>
      </c>
    </row>
    <row r="327" spans="1:12" x14ac:dyDescent="0.2">
      <c r="A327" s="69">
        <v>45708</v>
      </c>
      <c r="B327" s="23">
        <v>2741</v>
      </c>
      <c r="C327" s="23">
        <v>1521</v>
      </c>
      <c r="D327" s="23">
        <v>4262</v>
      </c>
      <c r="E327" s="23">
        <v>3525</v>
      </c>
      <c r="F327" s="23">
        <v>0</v>
      </c>
      <c r="G327" s="23">
        <v>737</v>
      </c>
      <c r="H327" s="23">
        <v>187</v>
      </c>
      <c r="I327" s="23">
        <v>1334</v>
      </c>
      <c r="J327" s="23">
        <v>0</v>
      </c>
      <c r="K327" s="23">
        <v>0</v>
      </c>
      <c r="L327" s="32" t="s">
        <v>460</v>
      </c>
    </row>
    <row r="328" spans="1:12" x14ac:dyDescent="0.2">
      <c r="A328" s="69">
        <v>45709</v>
      </c>
      <c r="B328" s="23">
        <v>2741</v>
      </c>
      <c r="C328" s="23">
        <v>1480</v>
      </c>
      <c r="D328" s="23">
        <v>4221</v>
      </c>
      <c r="E328" s="23">
        <v>3525</v>
      </c>
      <c r="F328" s="23">
        <v>0</v>
      </c>
      <c r="G328" s="23">
        <v>696</v>
      </c>
      <c r="H328" s="23">
        <v>183</v>
      </c>
      <c r="I328" s="23">
        <v>1297</v>
      </c>
      <c r="J328" s="23">
        <v>0</v>
      </c>
      <c r="K328" s="23">
        <v>0</v>
      </c>
      <c r="L328" s="32" t="s">
        <v>456</v>
      </c>
    </row>
    <row r="329" spans="1:12" x14ac:dyDescent="0.2">
      <c r="A329" s="69">
        <v>45710</v>
      </c>
      <c r="B329" s="23">
        <v>2741</v>
      </c>
      <c r="C329" s="23">
        <v>1530</v>
      </c>
      <c r="D329" s="23">
        <v>4271</v>
      </c>
      <c r="E329" s="23">
        <v>3525</v>
      </c>
      <c r="F329" s="23">
        <v>0</v>
      </c>
      <c r="G329" s="23">
        <v>746</v>
      </c>
      <c r="H329" s="23">
        <v>184</v>
      </c>
      <c r="I329" s="23">
        <v>1346</v>
      </c>
      <c r="J329" s="23">
        <v>0</v>
      </c>
      <c r="K329" s="23">
        <v>0</v>
      </c>
      <c r="L329" s="32" t="s">
        <v>461</v>
      </c>
    </row>
    <row r="330" spans="1:12" x14ac:dyDescent="0.2">
      <c r="A330" s="69">
        <v>45711</v>
      </c>
      <c r="B330" s="23">
        <v>2741</v>
      </c>
      <c r="C330" s="23">
        <v>1557</v>
      </c>
      <c r="D330" s="23">
        <v>4298</v>
      </c>
      <c r="E330" s="23">
        <v>3525</v>
      </c>
      <c r="F330" s="23">
        <v>0</v>
      </c>
      <c r="G330" s="23">
        <v>773</v>
      </c>
      <c r="H330" s="23">
        <v>183</v>
      </c>
      <c r="I330" s="23">
        <v>1374</v>
      </c>
      <c r="J330" s="23">
        <v>0</v>
      </c>
      <c r="K330" s="23">
        <v>0</v>
      </c>
      <c r="L330" s="32" t="s">
        <v>462</v>
      </c>
    </row>
    <row r="331" spans="1:12" x14ac:dyDescent="0.2">
      <c r="A331" s="69">
        <v>45712</v>
      </c>
      <c r="B331" s="23">
        <v>2741</v>
      </c>
      <c r="C331" s="23">
        <v>1399</v>
      </c>
      <c r="D331" s="23">
        <v>4140</v>
      </c>
      <c r="E331" s="23">
        <v>3525</v>
      </c>
      <c r="F331" s="23">
        <v>0</v>
      </c>
      <c r="G331" s="23">
        <v>615</v>
      </c>
      <c r="H331" s="23">
        <v>174</v>
      </c>
      <c r="I331" s="23">
        <v>1225</v>
      </c>
      <c r="J331" s="23">
        <v>0</v>
      </c>
      <c r="K331" s="23">
        <v>0</v>
      </c>
      <c r="L331" s="32" t="s">
        <v>463</v>
      </c>
    </row>
    <row r="332" spans="1:12" x14ac:dyDescent="0.2">
      <c r="A332" s="69">
        <v>45713</v>
      </c>
      <c r="B332" s="23">
        <v>2741</v>
      </c>
      <c r="C332" s="23">
        <v>1385</v>
      </c>
      <c r="D332" s="23">
        <v>4125</v>
      </c>
      <c r="E332" s="23">
        <v>3525</v>
      </c>
      <c r="F332" s="23">
        <v>0</v>
      </c>
      <c r="G332" s="23">
        <v>600</v>
      </c>
      <c r="H332" s="23">
        <v>169</v>
      </c>
      <c r="I332" s="23">
        <v>1216</v>
      </c>
      <c r="J332" s="23">
        <v>0</v>
      </c>
      <c r="K332" s="23">
        <v>0</v>
      </c>
      <c r="L332" s="32" t="s">
        <v>464</v>
      </c>
    </row>
    <row r="333" spans="1:12" x14ac:dyDescent="0.2">
      <c r="A333" s="69">
        <v>45714</v>
      </c>
      <c r="B333" s="23">
        <v>2741</v>
      </c>
      <c r="C333" s="23">
        <v>1299</v>
      </c>
      <c r="D333" s="23">
        <v>4039</v>
      </c>
      <c r="E333" s="23">
        <v>3525</v>
      </c>
      <c r="F333" s="23">
        <v>0</v>
      </c>
      <c r="G333" s="23">
        <v>514</v>
      </c>
      <c r="H333" s="23">
        <v>160</v>
      </c>
      <c r="I333" s="23">
        <v>1138</v>
      </c>
      <c r="J333" s="23">
        <v>0</v>
      </c>
      <c r="K333" s="23">
        <v>0</v>
      </c>
      <c r="L333" s="32" t="s">
        <v>465</v>
      </c>
    </row>
    <row r="334" spans="1:12" x14ac:dyDescent="0.2">
      <c r="A334" s="69">
        <v>45715</v>
      </c>
      <c r="B334" s="23">
        <v>2741</v>
      </c>
      <c r="C334" s="23">
        <v>1285</v>
      </c>
      <c r="D334" s="23">
        <v>4026</v>
      </c>
      <c r="E334" s="23">
        <v>3525</v>
      </c>
      <c r="F334" s="23">
        <v>0</v>
      </c>
      <c r="G334" s="23">
        <v>501</v>
      </c>
      <c r="H334" s="23">
        <v>161</v>
      </c>
      <c r="I334" s="23">
        <v>1124</v>
      </c>
      <c r="J334" s="23">
        <v>0</v>
      </c>
      <c r="K334" s="23">
        <v>0</v>
      </c>
      <c r="L334" s="32" t="s">
        <v>466</v>
      </c>
    </row>
    <row r="335" spans="1:12" x14ac:dyDescent="0.2">
      <c r="A335" s="69">
        <v>45716</v>
      </c>
      <c r="B335" s="23">
        <v>2591</v>
      </c>
      <c r="C335" s="23">
        <v>1410</v>
      </c>
      <c r="D335" s="23">
        <v>4001</v>
      </c>
      <c r="E335" s="23">
        <v>3525</v>
      </c>
      <c r="F335" s="23">
        <v>0</v>
      </c>
      <c r="G335" s="23">
        <v>476</v>
      </c>
      <c r="H335" s="23">
        <v>160</v>
      </c>
      <c r="I335" s="23">
        <v>1250</v>
      </c>
      <c r="J335" s="23">
        <v>0</v>
      </c>
      <c r="K335" s="23">
        <v>0</v>
      </c>
      <c r="L335" s="32" t="s">
        <v>467</v>
      </c>
    </row>
    <row r="336" spans="1:12" x14ac:dyDescent="0.2">
      <c r="A336" s="69">
        <v>45717</v>
      </c>
      <c r="B336" s="23">
        <v>2591</v>
      </c>
      <c r="C336" s="23">
        <v>1402</v>
      </c>
      <c r="D336" s="23">
        <v>3993</v>
      </c>
      <c r="E336" s="23">
        <v>3525</v>
      </c>
      <c r="F336" s="23">
        <v>0</v>
      </c>
      <c r="G336" s="23">
        <v>468</v>
      </c>
      <c r="H336" s="23">
        <v>164</v>
      </c>
      <c r="I336" s="23">
        <v>1239</v>
      </c>
      <c r="J336" s="23">
        <v>0</v>
      </c>
      <c r="K336" s="23">
        <v>0</v>
      </c>
      <c r="L336" s="32" t="s">
        <v>468</v>
      </c>
    </row>
    <row r="337" spans="1:12" x14ac:dyDescent="0.2">
      <c r="A337" s="69">
        <v>45718</v>
      </c>
      <c r="B337" s="23">
        <v>2591</v>
      </c>
      <c r="C337" s="23">
        <v>1586</v>
      </c>
      <c r="D337" s="23">
        <v>4177</v>
      </c>
      <c r="E337" s="23">
        <v>3525</v>
      </c>
      <c r="F337" s="23">
        <v>0</v>
      </c>
      <c r="G337" s="23">
        <v>652</v>
      </c>
      <c r="H337" s="23">
        <v>179</v>
      </c>
      <c r="I337" s="23">
        <v>1407</v>
      </c>
      <c r="J337" s="23">
        <v>0</v>
      </c>
      <c r="K337" s="23">
        <v>0</v>
      </c>
      <c r="L337" s="32" t="s">
        <v>469</v>
      </c>
    </row>
    <row r="338" spans="1:12" x14ac:dyDescent="0.2">
      <c r="A338" s="69">
        <v>45719</v>
      </c>
      <c r="B338" s="23">
        <v>2591</v>
      </c>
      <c r="C338" s="23">
        <v>1364</v>
      </c>
      <c r="D338" s="23">
        <v>3955</v>
      </c>
      <c r="E338" s="23">
        <v>3525</v>
      </c>
      <c r="F338" s="23">
        <v>0</v>
      </c>
      <c r="G338" s="23">
        <v>430</v>
      </c>
      <c r="H338" s="23">
        <v>164</v>
      </c>
      <c r="I338" s="23">
        <v>1200</v>
      </c>
      <c r="J338" s="23">
        <v>0</v>
      </c>
      <c r="K338" s="23">
        <v>0</v>
      </c>
      <c r="L338" s="32" t="s">
        <v>470</v>
      </c>
    </row>
    <row r="339" spans="1:12" x14ac:dyDescent="0.2">
      <c r="A339" s="69">
        <v>45720</v>
      </c>
      <c r="B339" s="23">
        <v>2591</v>
      </c>
      <c r="C339" s="23">
        <v>1379</v>
      </c>
      <c r="D339" s="23">
        <v>3970</v>
      </c>
      <c r="E339" s="23">
        <v>3525</v>
      </c>
      <c r="F339" s="23">
        <v>0</v>
      </c>
      <c r="G339" s="23">
        <v>445</v>
      </c>
      <c r="H339" s="23">
        <v>166</v>
      </c>
      <c r="I339" s="23">
        <v>1213</v>
      </c>
      <c r="J339" s="23">
        <v>0</v>
      </c>
      <c r="K339" s="23">
        <v>0</v>
      </c>
      <c r="L339" s="32" t="s">
        <v>471</v>
      </c>
    </row>
    <row r="340" spans="1:12" x14ac:dyDescent="0.2">
      <c r="A340" s="69">
        <v>45721</v>
      </c>
      <c r="B340" s="23">
        <v>2591</v>
      </c>
      <c r="C340" s="23">
        <v>1425</v>
      </c>
      <c r="D340" s="23">
        <v>4015</v>
      </c>
      <c r="E340" s="23">
        <v>3525</v>
      </c>
      <c r="F340" s="23">
        <v>0</v>
      </c>
      <c r="G340" s="23">
        <v>490</v>
      </c>
      <c r="H340" s="23">
        <v>172</v>
      </c>
      <c r="I340" s="23">
        <v>1252</v>
      </c>
      <c r="J340" s="23">
        <v>0</v>
      </c>
      <c r="K340" s="23">
        <v>0</v>
      </c>
      <c r="L340" s="32" t="s">
        <v>472</v>
      </c>
    </row>
    <row r="341" spans="1:12" x14ac:dyDescent="0.2">
      <c r="A341" s="69">
        <v>45722</v>
      </c>
      <c r="B341" s="23">
        <v>2591</v>
      </c>
      <c r="C341" s="23">
        <v>1401</v>
      </c>
      <c r="D341" s="23">
        <v>3992</v>
      </c>
      <c r="E341" s="23">
        <v>3525</v>
      </c>
      <c r="F341" s="23">
        <v>0</v>
      </c>
      <c r="G341" s="23">
        <v>467</v>
      </c>
      <c r="H341" s="23">
        <v>171</v>
      </c>
      <c r="I341" s="23">
        <v>1230</v>
      </c>
      <c r="J341" s="23">
        <v>0</v>
      </c>
      <c r="K341" s="23">
        <v>0</v>
      </c>
      <c r="L341" s="32" t="s">
        <v>473</v>
      </c>
    </row>
    <row r="342" spans="1:12" x14ac:dyDescent="0.2">
      <c r="A342" s="69">
        <v>45723</v>
      </c>
      <c r="B342" s="23">
        <v>2591</v>
      </c>
      <c r="C342" s="23">
        <v>1361</v>
      </c>
      <c r="D342" s="23">
        <v>3952</v>
      </c>
      <c r="E342" s="23">
        <v>3525</v>
      </c>
      <c r="F342" s="23">
        <v>0</v>
      </c>
      <c r="G342" s="23">
        <v>427</v>
      </c>
      <c r="H342" s="23">
        <v>165</v>
      </c>
      <c r="I342" s="23">
        <v>1196</v>
      </c>
      <c r="J342" s="23">
        <v>0</v>
      </c>
      <c r="K342" s="23">
        <v>0</v>
      </c>
      <c r="L342" s="32" t="s">
        <v>474</v>
      </c>
    </row>
    <row r="343" spans="1:12" x14ac:dyDescent="0.2">
      <c r="A343" s="69">
        <v>45724</v>
      </c>
      <c r="B343" s="23">
        <v>2591</v>
      </c>
      <c r="C343" s="23">
        <v>1395</v>
      </c>
      <c r="D343" s="23">
        <v>3986</v>
      </c>
      <c r="E343" s="23">
        <v>3525</v>
      </c>
      <c r="F343" s="23">
        <v>0</v>
      </c>
      <c r="G343" s="23">
        <v>461</v>
      </c>
      <c r="H343" s="23">
        <v>164</v>
      </c>
      <c r="I343" s="23">
        <v>1231</v>
      </c>
      <c r="J343" s="23">
        <v>0</v>
      </c>
      <c r="K343" s="23">
        <v>0</v>
      </c>
      <c r="L343" s="32" t="s">
        <v>475</v>
      </c>
    </row>
    <row r="344" spans="1:12" x14ac:dyDescent="0.2">
      <c r="A344" s="69">
        <v>45725</v>
      </c>
      <c r="B344" s="23">
        <v>2591</v>
      </c>
      <c r="C344" s="23">
        <v>1282</v>
      </c>
      <c r="D344" s="23">
        <v>3873</v>
      </c>
      <c r="E344" s="23">
        <v>3525</v>
      </c>
      <c r="F344" s="23">
        <v>0</v>
      </c>
      <c r="G344" s="23">
        <v>348</v>
      </c>
      <c r="H344" s="23">
        <v>154</v>
      </c>
      <c r="I344" s="23">
        <v>1129</v>
      </c>
      <c r="J344" s="23">
        <v>0</v>
      </c>
      <c r="K344" s="23">
        <v>0</v>
      </c>
      <c r="L344" s="32" t="s">
        <v>476</v>
      </c>
    </row>
    <row r="345" spans="1:12" x14ac:dyDescent="0.2">
      <c r="A345" s="69">
        <v>45726</v>
      </c>
      <c r="B345" s="23">
        <v>2591</v>
      </c>
      <c r="C345" s="23">
        <v>1191</v>
      </c>
      <c r="D345" s="23">
        <v>3782</v>
      </c>
      <c r="E345" s="23">
        <v>3525</v>
      </c>
      <c r="F345" s="23">
        <v>0</v>
      </c>
      <c r="G345" s="23">
        <v>257</v>
      </c>
      <c r="H345" s="23">
        <v>149</v>
      </c>
      <c r="I345" s="23">
        <v>1042</v>
      </c>
      <c r="J345" s="23">
        <v>0</v>
      </c>
      <c r="K345" s="23">
        <v>0</v>
      </c>
      <c r="L345" s="32" t="s">
        <v>477</v>
      </c>
    </row>
    <row r="346" spans="1:12" x14ac:dyDescent="0.2">
      <c r="A346" s="69">
        <v>45727</v>
      </c>
      <c r="B346" s="23">
        <v>2591</v>
      </c>
      <c r="C346" s="23">
        <v>1232</v>
      </c>
      <c r="D346" s="23">
        <v>3823</v>
      </c>
      <c r="E346" s="23">
        <v>3525</v>
      </c>
      <c r="F346" s="23">
        <v>0</v>
      </c>
      <c r="G346" s="23">
        <v>298</v>
      </c>
      <c r="H346" s="23">
        <v>158</v>
      </c>
      <c r="I346" s="23">
        <v>1074</v>
      </c>
      <c r="J346" s="23">
        <v>0</v>
      </c>
      <c r="K346" s="23">
        <v>0</v>
      </c>
      <c r="L346" s="32" t="s">
        <v>478</v>
      </c>
    </row>
    <row r="347" spans="1:12" x14ac:dyDescent="0.2">
      <c r="A347" s="69">
        <v>45728</v>
      </c>
      <c r="B347" s="23">
        <v>2591</v>
      </c>
      <c r="C347" s="23">
        <v>1225</v>
      </c>
      <c r="D347" s="23">
        <v>3816</v>
      </c>
      <c r="E347" s="23">
        <v>3525</v>
      </c>
      <c r="F347" s="23">
        <v>0</v>
      </c>
      <c r="G347" s="23">
        <v>291</v>
      </c>
      <c r="H347" s="23">
        <v>159</v>
      </c>
      <c r="I347" s="23">
        <v>1066</v>
      </c>
      <c r="J347" s="23">
        <v>0</v>
      </c>
      <c r="K347" s="23">
        <v>0</v>
      </c>
      <c r="L347" s="32" t="s">
        <v>479</v>
      </c>
    </row>
    <row r="348" spans="1:12" x14ac:dyDescent="0.2">
      <c r="A348" s="69">
        <v>45729</v>
      </c>
      <c r="B348" s="23">
        <v>2591</v>
      </c>
      <c r="C348" s="23">
        <v>1196</v>
      </c>
      <c r="D348" s="23">
        <v>3787</v>
      </c>
      <c r="E348" s="23">
        <v>3525</v>
      </c>
      <c r="F348" s="23">
        <v>0</v>
      </c>
      <c r="G348" s="23">
        <v>262</v>
      </c>
      <c r="H348" s="23">
        <v>154</v>
      </c>
      <c r="I348" s="23">
        <v>1042</v>
      </c>
      <c r="J348" s="23">
        <v>0</v>
      </c>
      <c r="K348" s="23">
        <v>0</v>
      </c>
      <c r="L348" s="32" t="s">
        <v>480</v>
      </c>
    </row>
    <row r="349" spans="1:12" x14ac:dyDescent="0.2">
      <c r="A349" s="69">
        <v>45730</v>
      </c>
      <c r="B349" s="23">
        <v>2591</v>
      </c>
      <c r="C349" s="23">
        <v>1228</v>
      </c>
      <c r="D349" s="23">
        <v>3819</v>
      </c>
      <c r="E349" s="23">
        <v>3525</v>
      </c>
      <c r="F349" s="23">
        <v>0</v>
      </c>
      <c r="G349" s="23">
        <v>294</v>
      </c>
      <c r="H349" s="23">
        <v>160</v>
      </c>
      <c r="I349" s="23">
        <v>1068</v>
      </c>
      <c r="J349" s="23">
        <v>0</v>
      </c>
      <c r="K349" s="23">
        <v>0</v>
      </c>
      <c r="L349" s="32" t="s">
        <v>481</v>
      </c>
    </row>
    <row r="350" spans="1:12" x14ac:dyDescent="0.2">
      <c r="A350" s="69">
        <v>45731</v>
      </c>
      <c r="B350" s="23">
        <v>2591</v>
      </c>
      <c r="C350" s="23">
        <v>1243</v>
      </c>
      <c r="D350" s="23">
        <v>3833</v>
      </c>
      <c r="E350" s="23">
        <v>3525</v>
      </c>
      <c r="F350" s="23">
        <v>0</v>
      </c>
      <c r="G350" s="23">
        <v>308</v>
      </c>
      <c r="H350" s="23">
        <v>160</v>
      </c>
      <c r="I350" s="23">
        <v>1082</v>
      </c>
      <c r="J350" s="23">
        <v>0</v>
      </c>
      <c r="K350" s="23">
        <v>0</v>
      </c>
      <c r="L350" s="32" t="s">
        <v>482</v>
      </c>
    </row>
    <row r="351" spans="1:12" x14ac:dyDescent="0.2">
      <c r="A351" s="69">
        <v>45732</v>
      </c>
      <c r="B351" s="23">
        <v>2591</v>
      </c>
      <c r="C351" s="23">
        <v>1211</v>
      </c>
      <c r="D351" s="23">
        <v>3802</v>
      </c>
      <c r="E351" s="23">
        <v>3525</v>
      </c>
      <c r="F351" s="23">
        <v>0</v>
      </c>
      <c r="G351" s="23">
        <v>277</v>
      </c>
      <c r="H351" s="23">
        <v>157</v>
      </c>
      <c r="I351" s="23">
        <v>1054</v>
      </c>
      <c r="J351" s="23">
        <v>0</v>
      </c>
      <c r="K351" s="23">
        <v>0</v>
      </c>
      <c r="L351" s="32" t="s">
        <v>483</v>
      </c>
    </row>
    <row r="352" spans="1:12" x14ac:dyDescent="0.2">
      <c r="A352" s="69">
        <v>45733</v>
      </c>
      <c r="B352" s="23">
        <v>2591</v>
      </c>
      <c r="C352" s="23">
        <v>1236</v>
      </c>
      <c r="D352" s="23">
        <v>3827</v>
      </c>
      <c r="E352" s="23">
        <v>3525</v>
      </c>
      <c r="F352" s="23">
        <v>0</v>
      </c>
      <c r="G352" s="23">
        <v>302</v>
      </c>
      <c r="H352" s="23">
        <v>160</v>
      </c>
      <c r="I352" s="23">
        <v>1076</v>
      </c>
      <c r="J352" s="23">
        <v>0</v>
      </c>
      <c r="K352" s="23">
        <v>0</v>
      </c>
      <c r="L352" s="32" t="s">
        <v>484</v>
      </c>
    </row>
    <row r="353" spans="1:12" x14ac:dyDescent="0.2">
      <c r="A353" s="69">
        <v>45734</v>
      </c>
      <c r="B353" s="23">
        <v>2591</v>
      </c>
      <c r="C353" s="23">
        <v>1236</v>
      </c>
      <c r="D353" s="23">
        <v>3827</v>
      </c>
      <c r="E353" s="23">
        <v>3525</v>
      </c>
      <c r="F353" s="23">
        <v>0</v>
      </c>
      <c r="G353" s="23">
        <v>302</v>
      </c>
      <c r="H353" s="23">
        <v>157</v>
      </c>
      <c r="I353" s="23">
        <v>1079</v>
      </c>
      <c r="J353" s="23">
        <v>0</v>
      </c>
      <c r="K353" s="23">
        <v>0</v>
      </c>
      <c r="L353" s="32" t="s">
        <v>485</v>
      </c>
    </row>
    <row r="354" spans="1:12" x14ac:dyDescent="0.2">
      <c r="A354" s="69">
        <v>45735</v>
      </c>
      <c r="B354" s="23">
        <v>2591</v>
      </c>
      <c r="C354" s="23">
        <v>1314</v>
      </c>
      <c r="D354" s="23">
        <v>3905</v>
      </c>
      <c r="E354" s="23">
        <v>3525</v>
      </c>
      <c r="F354" s="23">
        <v>0</v>
      </c>
      <c r="G354" s="23">
        <v>380</v>
      </c>
      <c r="H354" s="23">
        <v>165</v>
      </c>
      <c r="I354" s="23">
        <v>1149</v>
      </c>
      <c r="J354" s="23">
        <v>0</v>
      </c>
      <c r="K354" s="23">
        <v>0</v>
      </c>
      <c r="L354" s="32" t="s">
        <v>486</v>
      </c>
    </row>
    <row r="355" spans="1:12" x14ac:dyDescent="0.2">
      <c r="A355" s="69">
        <v>45736</v>
      </c>
      <c r="B355" s="23">
        <v>2591</v>
      </c>
      <c r="C355" s="23">
        <v>1268</v>
      </c>
      <c r="D355" s="23">
        <v>3859</v>
      </c>
      <c r="E355" s="23">
        <v>3525</v>
      </c>
      <c r="F355" s="23">
        <v>0</v>
      </c>
      <c r="G355" s="23">
        <v>334</v>
      </c>
      <c r="H355" s="23">
        <v>160</v>
      </c>
      <c r="I355" s="23">
        <v>1108</v>
      </c>
      <c r="J355" s="23">
        <v>0</v>
      </c>
      <c r="K355" s="23">
        <v>0</v>
      </c>
      <c r="L355" s="32" t="s">
        <v>487</v>
      </c>
    </row>
    <row r="356" spans="1:12" x14ac:dyDescent="0.2">
      <c r="A356" s="69">
        <v>45737</v>
      </c>
      <c r="B356" s="23">
        <v>2591</v>
      </c>
      <c r="C356" s="23">
        <v>1258</v>
      </c>
      <c r="D356" s="23">
        <v>3849</v>
      </c>
      <c r="E356" s="23">
        <v>3525</v>
      </c>
      <c r="F356" s="23">
        <v>0</v>
      </c>
      <c r="G356" s="23">
        <v>324</v>
      </c>
      <c r="H356" s="23">
        <v>160</v>
      </c>
      <c r="I356" s="23">
        <v>1098</v>
      </c>
      <c r="J356" s="23">
        <v>0</v>
      </c>
      <c r="K356" s="23">
        <v>0</v>
      </c>
      <c r="L356" s="32" t="s">
        <v>488</v>
      </c>
    </row>
    <row r="357" spans="1:12" x14ac:dyDescent="0.2">
      <c r="A357" s="69">
        <v>45738</v>
      </c>
      <c r="B357" s="23">
        <v>2591</v>
      </c>
      <c r="C357" s="23">
        <v>1266</v>
      </c>
      <c r="D357" s="23">
        <v>3857</v>
      </c>
      <c r="E357" s="23">
        <v>3525</v>
      </c>
      <c r="F357" s="23">
        <v>0</v>
      </c>
      <c r="G357" s="23">
        <v>332</v>
      </c>
      <c r="H357" s="23">
        <v>159</v>
      </c>
      <c r="I357" s="23">
        <v>1106</v>
      </c>
      <c r="J357" s="23">
        <v>0</v>
      </c>
      <c r="K357" s="23">
        <v>0</v>
      </c>
      <c r="L357" s="32" t="s">
        <v>489</v>
      </c>
    </row>
    <row r="358" spans="1:12" x14ac:dyDescent="0.2">
      <c r="A358" s="69">
        <v>45739</v>
      </c>
      <c r="B358" s="23">
        <v>2591</v>
      </c>
      <c r="C358" s="23">
        <v>1284</v>
      </c>
      <c r="D358" s="23">
        <v>3875</v>
      </c>
      <c r="E358" s="23">
        <v>3525</v>
      </c>
      <c r="F358" s="23">
        <v>0</v>
      </c>
      <c r="G358" s="23">
        <v>350</v>
      </c>
      <c r="H358" s="23">
        <v>164</v>
      </c>
      <c r="I358" s="23">
        <v>1121</v>
      </c>
      <c r="J358" s="23">
        <v>0</v>
      </c>
      <c r="K358" s="23">
        <v>0</v>
      </c>
      <c r="L358" s="32" t="s">
        <v>490</v>
      </c>
    </row>
    <row r="359" spans="1:12" x14ac:dyDescent="0.2">
      <c r="A359" s="69">
        <v>45740</v>
      </c>
      <c r="B359" s="23">
        <v>2591</v>
      </c>
      <c r="C359" s="23">
        <v>1329</v>
      </c>
      <c r="D359" s="23">
        <v>3920</v>
      </c>
      <c r="E359" s="23">
        <v>3525</v>
      </c>
      <c r="F359" s="23">
        <v>0</v>
      </c>
      <c r="G359" s="23">
        <v>395</v>
      </c>
      <c r="H359" s="23">
        <v>166</v>
      </c>
      <c r="I359" s="23">
        <v>1163</v>
      </c>
      <c r="J359" s="23">
        <v>0</v>
      </c>
      <c r="K359" s="23">
        <v>0</v>
      </c>
      <c r="L359" s="32" t="s">
        <v>491</v>
      </c>
    </row>
    <row r="360" spans="1:12" x14ac:dyDescent="0.2">
      <c r="A360" s="69">
        <v>45741</v>
      </c>
      <c r="B360" s="23">
        <v>2591</v>
      </c>
      <c r="C360" s="23">
        <v>1320</v>
      </c>
      <c r="D360" s="23">
        <v>3911</v>
      </c>
      <c r="E360" s="23">
        <v>3525</v>
      </c>
      <c r="F360" s="23">
        <v>0</v>
      </c>
      <c r="G360" s="23">
        <v>386</v>
      </c>
      <c r="H360" s="23">
        <v>166</v>
      </c>
      <c r="I360" s="23">
        <v>1154</v>
      </c>
      <c r="J360" s="23">
        <v>0</v>
      </c>
      <c r="K360" s="23">
        <v>0</v>
      </c>
      <c r="L360" s="32" t="s">
        <v>492</v>
      </c>
    </row>
    <row r="361" spans="1:12" x14ac:dyDescent="0.2">
      <c r="A361" s="69">
        <v>45742</v>
      </c>
      <c r="B361" s="23">
        <v>2591</v>
      </c>
      <c r="C361" s="23">
        <v>1288</v>
      </c>
      <c r="D361" s="23">
        <v>3879</v>
      </c>
      <c r="E361" s="23">
        <v>3525</v>
      </c>
      <c r="F361" s="23">
        <v>0</v>
      </c>
      <c r="G361" s="23">
        <v>354</v>
      </c>
      <c r="H361" s="23">
        <v>165</v>
      </c>
      <c r="I361" s="23">
        <v>1123</v>
      </c>
      <c r="J361" s="23">
        <v>0</v>
      </c>
      <c r="K361" s="23">
        <v>0</v>
      </c>
      <c r="L361" s="32" t="s">
        <v>493</v>
      </c>
    </row>
    <row r="362" spans="1:12" x14ac:dyDescent="0.2">
      <c r="A362" s="69">
        <v>45743</v>
      </c>
      <c r="B362" s="23">
        <v>2591</v>
      </c>
      <c r="C362" s="23">
        <v>1285</v>
      </c>
      <c r="D362" s="23">
        <v>3876</v>
      </c>
      <c r="E362" s="23">
        <v>3525</v>
      </c>
      <c r="F362" s="23">
        <v>0</v>
      </c>
      <c r="G362" s="23">
        <v>351</v>
      </c>
      <c r="H362" s="23">
        <v>166</v>
      </c>
      <c r="I362" s="23">
        <v>1119</v>
      </c>
      <c r="J362" s="23">
        <v>0</v>
      </c>
      <c r="K362" s="23">
        <v>0</v>
      </c>
      <c r="L362" s="32" t="s">
        <v>494</v>
      </c>
    </row>
    <row r="363" spans="1:12" x14ac:dyDescent="0.2">
      <c r="A363" s="69">
        <v>45744</v>
      </c>
      <c r="B363" s="23">
        <v>2591</v>
      </c>
      <c r="C363" s="23">
        <v>1220</v>
      </c>
      <c r="D363" s="23">
        <v>3811</v>
      </c>
      <c r="E363" s="23">
        <v>3525</v>
      </c>
      <c r="F363" s="23">
        <v>0</v>
      </c>
      <c r="G363" s="23">
        <v>286</v>
      </c>
      <c r="H363" s="23">
        <v>161</v>
      </c>
      <c r="I363" s="23">
        <v>1060</v>
      </c>
      <c r="J363" s="23">
        <v>0</v>
      </c>
      <c r="K363" s="23">
        <v>0</v>
      </c>
      <c r="L363" s="32" t="s">
        <v>495</v>
      </c>
    </row>
    <row r="364" spans="1:12" x14ac:dyDescent="0.2">
      <c r="A364" s="69">
        <v>45745</v>
      </c>
      <c r="B364" s="23">
        <v>2591</v>
      </c>
      <c r="C364" s="23">
        <v>1178</v>
      </c>
      <c r="D364" s="23">
        <v>3769</v>
      </c>
      <c r="E364" s="23">
        <v>3525</v>
      </c>
      <c r="F364" s="23">
        <v>0</v>
      </c>
      <c r="G364" s="23">
        <v>244</v>
      </c>
      <c r="H364" s="23">
        <v>157</v>
      </c>
      <c r="I364" s="23">
        <v>1021</v>
      </c>
      <c r="J364" s="23">
        <v>0</v>
      </c>
      <c r="K364" s="23">
        <v>0</v>
      </c>
      <c r="L364" s="32" t="s">
        <v>496</v>
      </c>
    </row>
    <row r="365" spans="1:12" x14ac:dyDescent="0.2">
      <c r="A365" s="69">
        <v>45746</v>
      </c>
      <c r="B365" s="23">
        <v>2591</v>
      </c>
      <c r="C365" s="23">
        <v>1167</v>
      </c>
      <c r="D365" s="23">
        <v>3757</v>
      </c>
      <c r="E365" s="23">
        <v>3525</v>
      </c>
      <c r="F365" s="23">
        <v>0</v>
      </c>
      <c r="G365" s="23">
        <v>232</v>
      </c>
      <c r="H365" s="23">
        <v>157</v>
      </c>
      <c r="I365" s="23">
        <v>1010</v>
      </c>
      <c r="J365" s="23">
        <v>0</v>
      </c>
      <c r="K365" s="23">
        <v>0</v>
      </c>
      <c r="L365" s="32" t="s">
        <v>497</v>
      </c>
    </row>
    <row r="366" spans="1:12" x14ac:dyDescent="0.2">
      <c r="A366" s="69">
        <v>45747</v>
      </c>
      <c r="B366" s="23">
        <v>2591</v>
      </c>
      <c r="C366" s="23">
        <v>1175</v>
      </c>
      <c r="D366" s="23">
        <v>3766</v>
      </c>
      <c r="E366" s="23">
        <v>3525</v>
      </c>
      <c r="F366" s="23">
        <v>0</v>
      </c>
      <c r="G366" s="23">
        <v>241</v>
      </c>
      <c r="H366" s="23">
        <v>157</v>
      </c>
      <c r="I366" s="23">
        <v>1018</v>
      </c>
      <c r="J366" s="23">
        <v>0</v>
      </c>
      <c r="K366" s="23">
        <v>0</v>
      </c>
      <c r="L366" s="32" t="s">
        <v>498</v>
      </c>
    </row>
    <row r="367" spans="1:12" x14ac:dyDescent="0.2">
      <c r="A367" s="69">
        <v>45748</v>
      </c>
      <c r="B367" s="23">
        <v>2591</v>
      </c>
      <c r="C367" s="23">
        <v>1226</v>
      </c>
      <c r="D367" s="23">
        <v>3817</v>
      </c>
      <c r="E367" s="23">
        <v>3525</v>
      </c>
      <c r="F367" s="23">
        <v>0</v>
      </c>
      <c r="G367" s="23">
        <v>292</v>
      </c>
      <c r="H367" s="23">
        <v>162</v>
      </c>
      <c r="I367" s="23">
        <v>1064</v>
      </c>
      <c r="J367" s="23">
        <v>0</v>
      </c>
      <c r="K367" s="23">
        <v>0</v>
      </c>
      <c r="L367" s="32" t="s">
        <v>499</v>
      </c>
    </row>
    <row r="368" spans="1:12" x14ac:dyDescent="0.2">
      <c r="A368" s="69">
        <v>45749</v>
      </c>
      <c r="B368" s="23">
        <v>2591</v>
      </c>
      <c r="C368" s="23">
        <v>1160</v>
      </c>
      <c r="D368" s="23">
        <v>3751</v>
      </c>
      <c r="E368" s="23">
        <v>3525</v>
      </c>
      <c r="F368" s="23">
        <v>0</v>
      </c>
      <c r="G368" s="23">
        <v>226</v>
      </c>
      <c r="H368" s="23">
        <v>157</v>
      </c>
      <c r="I368" s="23">
        <v>1003</v>
      </c>
      <c r="J368" s="23">
        <v>0</v>
      </c>
      <c r="K368" s="23">
        <v>0</v>
      </c>
      <c r="L368" s="32" t="s">
        <v>500</v>
      </c>
    </row>
    <row r="369" spans="1:12" x14ac:dyDescent="0.2">
      <c r="A369" s="69">
        <v>45750</v>
      </c>
      <c r="B369" s="23">
        <v>2757</v>
      </c>
      <c r="C369" s="23">
        <v>1015</v>
      </c>
      <c r="D369" s="23">
        <v>3772</v>
      </c>
      <c r="E369" s="23">
        <v>3525</v>
      </c>
      <c r="F369" s="23">
        <v>0</v>
      </c>
      <c r="G369" s="23">
        <v>247</v>
      </c>
      <c r="H369" s="23">
        <v>0</v>
      </c>
      <c r="I369" s="23">
        <v>1015</v>
      </c>
      <c r="J369" s="23">
        <v>0</v>
      </c>
      <c r="K369" s="23">
        <v>0</v>
      </c>
      <c r="L369" s="32" t="s">
        <v>502</v>
      </c>
    </row>
    <row r="370" spans="1:12" x14ac:dyDescent="0.2">
      <c r="A370" s="69">
        <v>45751</v>
      </c>
      <c r="B370" s="23">
        <v>2757</v>
      </c>
      <c r="C370" s="23">
        <v>1015</v>
      </c>
      <c r="D370" s="23">
        <v>3772</v>
      </c>
      <c r="E370" s="23">
        <v>3525</v>
      </c>
      <c r="F370" s="23">
        <v>0</v>
      </c>
      <c r="G370" s="23">
        <v>247</v>
      </c>
      <c r="H370" s="23">
        <v>0</v>
      </c>
      <c r="I370" s="23">
        <v>1015</v>
      </c>
      <c r="J370" s="23">
        <v>0</v>
      </c>
      <c r="K370" s="23">
        <v>0</v>
      </c>
      <c r="L370" s="32" t="s">
        <v>502</v>
      </c>
    </row>
    <row r="371" spans="1:12" x14ac:dyDescent="0.2">
      <c r="A371" s="69">
        <v>45752</v>
      </c>
      <c r="B371" s="23">
        <v>2757</v>
      </c>
      <c r="C371" s="23">
        <v>1009</v>
      </c>
      <c r="D371" s="23">
        <v>3766</v>
      </c>
      <c r="E371" s="23">
        <v>3525</v>
      </c>
      <c r="F371" s="23">
        <v>0</v>
      </c>
      <c r="G371" s="23">
        <v>241</v>
      </c>
      <c r="H371" s="23">
        <v>0</v>
      </c>
      <c r="I371" s="23">
        <v>1009</v>
      </c>
      <c r="J371" s="23">
        <v>0</v>
      </c>
      <c r="K371" s="23">
        <v>0</v>
      </c>
      <c r="L371" s="32" t="s">
        <v>503</v>
      </c>
    </row>
    <row r="372" spans="1:12" x14ac:dyDescent="0.2">
      <c r="A372" s="69">
        <v>45753</v>
      </c>
      <c r="B372" s="23">
        <v>2757</v>
      </c>
      <c r="C372" s="23">
        <v>883</v>
      </c>
      <c r="D372" s="23">
        <v>3640</v>
      </c>
      <c r="E372" s="23">
        <v>3525</v>
      </c>
      <c r="F372" s="23">
        <v>0</v>
      </c>
      <c r="G372" s="23">
        <v>115</v>
      </c>
      <c r="H372" s="23">
        <v>0</v>
      </c>
      <c r="I372" s="23">
        <v>883</v>
      </c>
      <c r="J372" s="23">
        <v>0</v>
      </c>
      <c r="K372" s="23">
        <v>0</v>
      </c>
      <c r="L372" s="32" t="s">
        <v>504</v>
      </c>
    </row>
    <row r="373" spans="1:12" x14ac:dyDescent="0.2">
      <c r="A373" s="69">
        <v>45754</v>
      </c>
      <c r="B373" s="23">
        <v>2757</v>
      </c>
      <c r="C373" s="23">
        <v>868</v>
      </c>
      <c r="D373" s="23">
        <v>3624</v>
      </c>
      <c r="E373" s="23">
        <v>3525</v>
      </c>
      <c r="F373" s="23">
        <v>0</v>
      </c>
      <c r="G373" s="23">
        <v>99</v>
      </c>
      <c r="H373" s="23">
        <v>0</v>
      </c>
      <c r="I373" s="23">
        <v>868</v>
      </c>
      <c r="J373" s="23">
        <v>0</v>
      </c>
      <c r="K373" s="23">
        <v>0</v>
      </c>
      <c r="L373" s="32" t="s">
        <v>505</v>
      </c>
    </row>
    <row r="374" spans="1:12" x14ac:dyDescent="0.2">
      <c r="A374" s="69">
        <v>45755</v>
      </c>
      <c r="B374" s="23">
        <v>2757</v>
      </c>
      <c r="C374" s="23">
        <v>823</v>
      </c>
      <c r="D374" s="23">
        <v>3580</v>
      </c>
      <c r="E374" s="23">
        <v>3525</v>
      </c>
      <c r="F374" s="23">
        <v>0</v>
      </c>
      <c r="G374" s="23">
        <v>55</v>
      </c>
      <c r="H374" s="23">
        <v>0</v>
      </c>
      <c r="I374" s="23">
        <v>823</v>
      </c>
      <c r="J374" s="23">
        <v>0</v>
      </c>
      <c r="K374" s="23">
        <v>0</v>
      </c>
      <c r="L374" s="32" t="s">
        <v>506</v>
      </c>
    </row>
    <row r="375" spans="1:12" x14ac:dyDescent="0.2">
      <c r="A375" s="69">
        <v>45756</v>
      </c>
      <c r="B375" s="23">
        <v>2757</v>
      </c>
      <c r="C375" s="23">
        <v>933</v>
      </c>
      <c r="D375" s="23">
        <v>3690</v>
      </c>
      <c r="E375" s="23">
        <v>3525</v>
      </c>
      <c r="F375" s="23">
        <v>0</v>
      </c>
      <c r="G375" s="23">
        <v>165</v>
      </c>
      <c r="H375" s="23">
        <v>0</v>
      </c>
      <c r="I375" s="23">
        <v>933</v>
      </c>
      <c r="J375" s="23">
        <v>0</v>
      </c>
      <c r="K375" s="23">
        <v>0</v>
      </c>
      <c r="L375" s="32" t="s">
        <v>507</v>
      </c>
    </row>
    <row r="376" spans="1:12" x14ac:dyDescent="0.2">
      <c r="A376" s="69">
        <v>45757</v>
      </c>
      <c r="B376" s="23">
        <v>2757</v>
      </c>
      <c r="C376" s="23">
        <v>850</v>
      </c>
      <c r="D376" s="23">
        <v>3607</v>
      </c>
      <c r="E376" s="23">
        <v>3525</v>
      </c>
      <c r="F376" s="23">
        <v>0</v>
      </c>
      <c r="G376" s="23">
        <v>82</v>
      </c>
      <c r="H376" s="23">
        <v>0</v>
      </c>
      <c r="I376" s="23">
        <v>850</v>
      </c>
      <c r="J376" s="23">
        <v>0</v>
      </c>
      <c r="K376" s="23">
        <v>0</v>
      </c>
      <c r="L376" s="32" t="s">
        <v>508</v>
      </c>
    </row>
    <row r="377" spans="1:12" x14ac:dyDescent="0.2">
      <c r="A377" s="69">
        <v>45758</v>
      </c>
      <c r="B377" s="23">
        <v>2757</v>
      </c>
      <c r="C377" s="23">
        <v>875</v>
      </c>
      <c r="D377" s="23">
        <v>3632</v>
      </c>
      <c r="E377" s="23">
        <v>3525</v>
      </c>
      <c r="F377" s="23">
        <v>0</v>
      </c>
      <c r="G377" s="23">
        <v>107</v>
      </c>
      <c r="H377" s="23">
        <v>0</v>
      </c>
      <c r="I377" s="23">
        <v>875</v>
      </c>
      <c r="J377" s="23">
        <v>0</v>
      </c>
      <c r="K377" s="23">
        <v>0</v>
      </c>
      <c r="L377" s="32" t="s">
        <v>509</v>
      </c>
    </row>
    <row r="378" spans="1:12" x14ac:dyDescent="0.2">
      <c r="A378" s="69">
        <v>45759</v>
      </c>
      <c r="B378" s="23">
        <v>2757</v>
      </c>
      <c r="C378" s="23">
        <v>918</v>
      </c>
      <c r="D378" s="23">
        <v>3675</v>
      </c>
      <c r="E378" s="23">
        <v>3525</v>
      </c>
      <c r="F378" s="23">
        <v>0</v>
      </c>
      <c r="G378" s="23">
        <v>150</v>
      </c>
      <c r="H378" s="23">
        <v>0</v>
      </c>
      <c r="I378" s="23">
        <v>918</v>
      </c>
      <c r="J378" s="23">
        <v>0</v>
      </c>
      <c r="K378" s="23">
        <v>0</v>
      </c>
      <c r="L378" s="32" t="s">
        <v>510</v>
      </c>
    </row>
    <row r="379" spans="1:12" x14ac:dyDescent="0.2">
      <c r="A379" s="69">
        <v>45760</v>
      </c>
      <c r="B379" s="23">
        <v>2757</v>
      </c>
      <c r="C379" s="23">
        <v>893</v>
      </c>
      <c r="D379" s="23">
        <v>3649</v>
      </c>
      <c r="E379" s="23">
        <v>3525</v>
      </c>
      <c r="F379" s="23">
        <v>0</v>
      </c>
      <c r="G379" s="23">
        <v>124</v>
      </c>
      <c r="H379" s="23">
        <v>0</v>
      </c>
      <c r="I379" s="23">
        <v>893</v>
      </c>
      <c r="J379" s="23">
        <v>0</v>
      </c>
      <c r="K379" s="23">
        <v>0</v>
      </c>
      <c r="L379" s="32" t="s">
        <v>511</v>
      </c>
    </row>
    <row r="380" spans="1:12" x14ac:dyDescent="0.2">
      <c r="A380" s="69">
        <v>45761</v>
      </c>
      <c r="B380" s="23">
        <v>2757</v>
      </c>
      <c r="C380" s="23">
        <v>907</v>
      </c>
      <c r="D380" s="23">
        <v>3664</v>
      </c>
      <c r="E380" s="23">
        <v>3525</v>
      </c>
      <c r="F380" s="23">
        <v>0</v>
      </c>
      <c r="G380" s="23">
        <v>139</v>
      </c>
      <c r="H380" s="23">
        <v>0</v>
      </c>
      <c r="I380" s="23">
        <v>907</v>
      </c>
      <c r="J380" s="23">
        <v>0</v>
      </c>
      <c r="K380" s="23">
        <v>0</v>
      </c>
      <c r="L380" s="32" t="s">
        <v>512</v>
      </c>
    </row>
    <row r="381" spans="1:12" x14ac:dyDescent="0.2">
      <c r="A381" s="69">
        <v>45762</v>
      </c>
      <c r="B381" s="23">
        <v>2757</v>
      </c>
      <c r="C381" s="23">
        <v>888</v>
      </c>
      <c r="D381" s="23">
        <v>3644</v>
      </c>
      <c r="E381" s="23">
        <v>3525</v>
      </c>
      <c r="F381" s="23">
        <v>0</v>
      </c>
      <c r="G381" s="23">
        <v>119</v>
      </c>
      <c r="H381" s="23">
        <v>0</v>
      </c>
      <c r="I381" s="23">
        <v>888</v>
      </c>
      <c r="J381" s="23">
        <v>0</v>
      </c>
      <c r="K381" s="23">
        <v>0</v>
      </c>
      <c r="L381" s="32" t="s">
        <v>513</v>
      </c>
    </row>
    <row r="382" spans="1:12" x14ac:dyDescent="0.2">
      <c r="A382" s="69">
        <v>45763</v>
      </c>
      <c r="B382" s="23">
        <v>2757</v>
      </c>
      <c r="C382" s="23">
        <v>881</v>
      </c>
      <c r="D382" s="23">
        <v>3638</v>
      </c>
      <c r="E382" s="23">
        <v>3525</v>
      </c>
      <c r="F382" s="23">
        <v>0</v>
      </c>
      <c r="G382" s="23">
        <v>113</v>
      </c>
      <c r="H382" s="23">
        <v>0</v>
      </c>
      <c r="I382" s="23">
        <v>881</v>
      </c>
      <c r="J382" s="23">
        <v>0</v>
      </c>
      <c r="K382" s="23">
        <v>0</v>
      </c>
      <c r="L382" s="32" t="s">
        <v>514</v>
      </c>
    </row>
    <row r="383" spans="1:12" x14ac:dyDescent="0.2">
      <c r="A383" s="69">
        <v>45764</v>
      </c>
      <c r="B383" s="23">
        <v>2757</v>
      </c>
      <c r="C383" s="23">
        <v>885</v>
      </c>
      <c r="D383" s="23">
        <v>3642</v>
      </c>
      <c r="E383" s="23">
        <v>3525</v>
      </c>
      <c r="F383" s="23">
        <v>0</v>
      </c>
      <c r="G383" s="23">
        <v>117</v>
      </c>
      <c r="H383" s="23">
        <v>0</v>
      </c>
      <c r="I383" s="23">
        <v>885</v>
      </c>
      <c r="J383" s="23">
        <v>0</v>
      </c>
      <c r="K383" s="23">
        <v>0</v>
      </c>
      <c r="L383" s="32" t="s">
        <v>515</v>
      </c>
    </row>
    <row r="384" spans="1:12" x14ac:dyDescent="0.2">
      <c r="A384" s="69">
        <v>45765</v>
      </c>
      <c r="B384" s="23">
        <v>2757</v>
      </c>
      <c r="C384" s="23">
        <v>887</v>
      </c>
      <c r="D384" s="23">
        <v>3644</v>
      </c>
      <c r="E384" s="23">
        <v>3525</v>
      </c>
      <c r="F384" s="23">
        <v>0</v>
      </c>
      <c r="G384" s="23">
        <v>119</v>
      </c>
      <c r="H384" s="23">
        <v>0</v>
      </c>
      <c r="I384" s="23">
        <v>887</v>
      </c>
      <c r="J384" s="23">
        <v>0</v>
      </c>
      <c r="K384" s="23">
        <v>0</v>
      </c>
      <c r="L384" s="32" t="s">
        <v>516</v>
      </c>
    </row>
    <row r="385" spans="1:12" x14ac:dyDescent="0.2">
      <c r="A385" s="69">
        <v>45766</v>
      </c>
      <c r="B385" s="23">
        <v>2757</v>
      </c>
      <c r="C385" s="23">
        <v>901</v>
      </c>
      <c r="D385" s="23">
        <v>3658</v>
      </c>
      <c r="E385" s="23">
        <v>3525</v>
      </c>
      <c r="F385" s="23">
        <v>0</v>
      </c>
      <c r="G385" s="23">
        <v>133</v>
      </c>
      <c r="H385" s="23">
        <v>0</v>
      </c>
      <c r="I385" s="23">
        <v>901</v>
      </c>
      <c r="J385" s="23">
        <v>0</v>
      </c>
      <c r="K385" s="23">
        <v>0</v>
      </c>
      <c r="L385" s="32" t="s">
        <v>517</v>
      </c>
    </row>
    <row r="386" spans="1:12" x14ac:dyDescent="0.2">
      <c r="A386" s="69">
        <v>45767</v>
      </c>
      <c r="B386" s="23">
        <v>2757</v>
      </c>
      <c r="C386" s="23">
        <v>887</v>
      </c>
      <c r="D386" s="23">
        <v>3644</v>
      </c>
      <c r="E386" s="23">
        <v>3525</v>
      </c>
      <c r="F386" s="23">
        <v>0</v>
      </c>
      <c r="G386" s="23">
        <v>119</v>
      </c>
      <c r="H386" s="23">
        <v>0</v>
      </c>
      <c r="I386" s="23">
        <v>887</v>
      </c>
      <c r="J386" s="23">
        <v>0</v>
      </c>
      <c r="K386" s="23">
        <v>0</v>
      </c>
      <c r="L386" s="32" t="s">
        <v>516</v>
      </c>
    </row>
    <row r="387" spans="1:12" x14ac:dyDescent="0.2">
      <c r="A387" s="69">
        <v>45768</v>
      </c>
      <c r="B387" s="23">
        <v>2757</v>
      </c>
      <c r="C387" s="23">
        <v>882</v>
      </c>
      <c r="D387" s="23">
        <v>3639</v>
      </c>
      <c r="E387" s="23">
        <v>3525</v>
      </c>
      <c r="F387" s="23">
        <v>0</v>
      </c>
      <c r="G387" s="23">
        <v>114</v>
      </c>
      <c r="H387" s="23">
        <v>0</v>
      </c>
      <c r="I387" s="23">
        <v>882</v>
      </c>
      <c r="J387" s="23">
        <v>0</v>
      </c>
      <c r="K387" s="23">
        <v>0</v>
      </c>
      <c r="L387" s="32" t="s">
        <v>518</v>
      </c>
    </row>
    <row r="388" spans="1:12" x14ac:dyDescent="0.2">
      <c r="A388" s="69">
        <v>45769</v>
      </c>
      <c r="B388" s="23">
        <v>2757</v>
      </c>
      <c r="C388" s="23">
        <v>981</v>
      </c>
      <c r="D388" s="23">
        <v>3738</v>
      </c>
      <c r="E388" s="23">
        <v>3525</v>
      </c>
      <c r="F388" s="23">
        <v>0</v>
      </c>
      <c r="G388" s="23">
        <v>213</v>
      </c>
      <c r="H388" s="23">
        <v>0</v>
      </c>
      <c r="I388" s="23">
        <v>981</v>
      </c>
      <c r="J388" s="23">
        <v>0</v>
      </c>
      <c r="K388" s="23">
        <v>0</v>
      </c>
      <c r="L388" s="32" t="s">
        <v>519</v>
      </c>
    </row>
    <row r="389" spans="1:12" x14ac:dyDescent="0.2">
      <c r="A389" s="69">
        <v>45770</v>
      </c>
      <c r="B389" s="23">
        <v>2757</v>
      </c>
      <c r="C389" s="23">
        <v>1003</v>
      </c>
      <c r="D389" s="23">
        <v>3760</v>
      </c>
      <c r="E389" s="23">
        <v>3525</v>
      </c>
      <c r="F389" s="23">
        <v>0</v>
      </c>
      <c r="G389" s="23">
        <v>235</v>
      </c>
      <c r="H389" s="23">
        <v>0</v>
      </c>
      <c r="I389" s="23">
        <v>1003</v>
      </c>
      <c r="J389" s="23">
        <v>0</v>
      </c>
      <c r="K389" s="23">
        <v>0</v>
      </c>
      <c r="L389" s="32" t="s">
        <v>520</v>
      </c>
    </row>
    <row r="390" spans="1:12" x14ac:dyDescent="0.2">
      <c r="A390" s="69">
        <v>45771</v>
      </c>
      <c r="B390" s="23">
        <v>2757</v>
      </c>
      <c r="C390" s="23">
        <v>989</v>
      </c>
      <c r="D390" s="23">
        <v>3745</v>
      </c>
      <c r="E390" s="23">
        <v>3525</v>
      </c>
      <c r="F390" s="23">
        <v>0</v>
      </c>
      <c r="G390" s="23">
        <v>220</v>
      </c>
      <c r="H390" s="23">
        <v>0</v>
      </c>
      <c r="I390" s="23">
        <v>989</v>
      </c>
      <c r="J390" s="23">
        <v>0</v>
      </c>
      <c r="K390" s="23">
        <v>0</v>
      </c>
      <c r="L390" s="32" t="s">
        <v>521</v>
      </c>
    </row>
    <row r="391" spans="1:12" x14ac:dyDescent="0.2">
      <c r="A391" s="69">
        <v>45772</v>
      </c>
      <c r="B391" s="23">
        <v>2757</v>
      </c>
      <c r="C391" s="23">
        <v>997</v>
      </c>
      <c r="D391" s="23">
        <v>3754</v>
      </c>
      <c r="E391" s="23">
        <v>3525</v>
      </c>
      <c r="F391" s="23">
        <v>0</v>
      </c>
      <c r="G391" s="23">
        <v>229</v>
      </c>
      <c r="H391" s="23">
        <v>0</v>
      </c>
      <c r="I391" s="23">
        <v>997</v>
      </c>
      <c r="J391" s="23">
        <v>0</v>
      </c>
      <c r="K391" s="23">
        <v>0</v>
      </c>
      <c r="L391" s="32" t="s">
        <v>522</v>
      </c>
    </row>
    <row r="392" spans="1:12" x14ac:dyDescent="0.2">
      <c r="A392" s="69">
        <v>45773</v>
      </c>
      <c r="B392" s="23">
        <v>2757</v>
      </c>
      <c r="C392" s="23">
        <v>1017</v>
      </c>
      <c r="D392" s="23">
        <v>3774</v>
      </c>
      <c r="E392" s="23">
        <v>3525</v>
      </c>
      <c r="F392" s="23">
        <v>0</v>
      </c>
      <c r="G392" s="23">
        <v>249</v>
      </c>
      <c r="H392" s="23">
        <v>0</v>
      </c>
      <c r="I392" s="23">
        <v>1017</v>
      </c>
      <c r="J392" s="23">
        <v>0</v>
      </c>
      <c r="K392" s="23">
        <v>0</v>
      </c>
      <c r="L392" s="32" t="s">
        <v>523</v>
      </c>
    </row>
    <row r="393" spans="1:12" x14ac:dyDescent="0.2">
      <c r="A393" s="69">
        <v>45774</v>
      </c>
      <c r="B393" s="23">
        <v>2757</v>
      </c>
      <c r="C393" s="23">
        <v>1001</v>
      </c>
      <c r="D393" s="23">
        <v>3758</v>
      </c>
      <c r="E393" s="23">
        <v>3525</v>
      </c>
      <c r="F393" s="23">
        <v>0</v>
      </c>
      <c r="G393" s="23">
        <v>233</v>
      </c>
      <c r="H393" s="23">
        <v>0</v>
      </c>
      <c r="I393" s="23">
        <v>1001</v>
      </c>
      <c r="J393" s="23">
        <v>0</v>
      </c>
      <c r="K393" s="23">
        <v>0</v>
      </c>
      <c r="L393" s="32" t="s">
        <v>524</v>
      </c>
    </row>
    <row r="394" spans="1:12" x14ac:dyDescent="0.2">
      <c r="A394" s="69">
        <v>45775</v>
      </c>
      <c r="B394" s="23">
        <v>2757</v>
      </c>
      <c r="C394" s="23">
        <v>1005</v>
      </c>
      <c r="D394" s="23">
        <v>3762</v>
      </c>
      <c r="E394" s="23">
        <v>3525</v>
      </c>
      <c r="F394" s="23">
        <v>0</v>
      </c>
      <c r="G394" s="23">
        <v>237</v>
      </c>
      <c r="H394" s="23">
        <v>0</v>
      </c>
      <c r="I394" s="23">
        <v>1005</v>
      </c>
      <c r="J394" s="23">
        <v>0</v>
      </c>
      <c r="K394" s="23">
        <v>0</v>
      </c>
      <c r="L394" s="32" t="s">
        <v>525</v>
      </c>
    </row>
    <row r="395" spans="1:12" x14ac:dyDescent="0.2">
      <c r="A395" s="69">
        <v>45776</v>
      </c>
      <c r="B395" s="23">
        <v>2757</v>
      </c>
      <c r="C395" s="23">
        <v>1004</v>
      </c>
      <c r="D395" s="23">
        <v>3761</v>
      </c>
      <c r="E395" s="23">
        <v>3525</v>
      </c>
      <c r="F395" s="23">
        <v>0</v>
      </c>
      <c r="G395" s="23">
        <v>236</v>
      </c>
      <c r="H395" s="23">
        <v>0</v>
      </c>
      <c r="I395" s="23">
        <v>1004</v>
      </c>
      <c r="J395" s="23">
        <v>0</v>
      </c>
      <c r="K395" s="23">
        <v>0</v>
      </c>
      <c r="L395" s="32" t="s">
        <v>526</v>
      </c>
    </row>
    <row r="396" spans="1:12" x14ac:dyDescent="0.2">
      <c r="A396" s="69">
        <v>45777</v>
      </c>
      <c r="B396" s="23">
        <v>2757</v>
      </c>
      <c r="C396" s="23">
        <v>1002</v>
      </c>
      <c r="D396" s="23">
        <v>3759</v>
      </c>
      <c r="E396" s="23">
        <v>3525</v>
      </c>
      <c r="F396" s="23">
        <v>0</v>
      </c>
      <c r="G396" s="23">
        <v>234</v>
      </c>
      <c r="H396" s="23">
        <v>0</v>
      </c>
      <c r="I396" s="23">
        <v>1002</v>
      </c>
      <c r="J396" s="23">
        <v>0</v>
      </c>
      <c r="K396" s="23">
        <v>0</v>
      </c>
      <c r="L396" s="32" t="s">
        <v>527</v>
      </c>
    </row>
    <row r="397" spans="1:12" x14ac:dyDescent="0.2">
      <c r="A397" s="69">
        <v>45778</v>
      </c>
      <c r="B397" s="23">
        <v>2757</v>
      </c>
      <c r="C397" s="23">
        <v>1027</v>
      </c>
      <c r="D397" s="23">
        <v>3784</v>
      </c>
      <c r="E397" s="23">
        <v>3525</v>
      </c>
      <c r="F397" s="23">
        <v>0</v>
      </c>
      <c r="G397" s="23">
        <v>259</v>
      </c>
      <c r="H397" s="23">
        <v>0</v>
      </c>
      <c r="I397" s="23">
        <v>1027</v>
      </c>
      <c r="J397" s="23">
        <v>0</v>
      </c>
      <c r="K397" s="23">
        <v>0</v>
      </c>
      <c r="L397" s="32" t="s">
        <v>528</v>
      </c>
    </row>
    <row r="398" spans="1:12" x14ac:dyDescent="0.2">
      <c r="A398" s="69">
        <v>45779</v>
      </c>
      <c r="B398" s="23">
        <v>2757</v>
      </c>
      <c r="C398" s="23">
        <v>1029</v>
      </c>
      <c r="D398" s="23">
        <v>3786</v>
      </c>
      <c r="E398" s="23">
        <v>3525</v>
      </c>
      <c r="F398" s="23">
        <v>0</v>
      </c>
      <c r="G398" s="23">
        <v>261</v>
      </c>
      <c r="H398" s="23">
        <v>0</v>
      </c>
      <c r="I398" s="23">
        <v>1029</v>
      </c>
      <c r="J398" s="23">
        <v>0</v>
      </c>
      <c r="K398" s="23">
        <v>0</v>
      </c>
      <c r="L398" s="32" t="s">
        <v>529</v>
      </c>
    </row>
    <row r="399" spans="1:12" x14ac:dyDescent="0.2">
      <c r="A399" s="69">
        <v>45780</v>
      </c>
      <c r="B399" s="23">
        <v>2757</v>
      </c>
      <c r="C399" s="23">
        <v>1024</v>
      </c>
      <c r="D399" s="23">
        <v>3781</v>
      </c>
      <c r="E399" s="23">
        <v>3525</v>
      </c>
      <c r="F399" s="23">
        <v>0</v>
      </c>
      <c r="G399" s="23">
        <v>256</v>
      </c>
      <c r="H399" s="23">
        <v>0</v>
      </c>
      <c r="I399" s="23">
        <v>1024</v>
      </c>
      <c r="J399" s="23">
        <v>0</v>
      </c>
      <c r="K399" s="23">
        <v>0</v>
      </c>
      <c r="L399" s="32" t="s">
        <v>530</v>
      </c>
    </row>
    <row r="400" spans="1:12" x14ac:dyDescent="0.2">
      <c r="A400" s="69">
        <v>45781</v>
      </c>
      <c r="B400" s="23">
        <v>2757</v>
      </c>
      <c r="C400" s="23">
        <v>1010</v>
      </c>
      <c r="D400" s="23">
        <v>3767</v>
      </c>
      <c r="E400" s="23">
        <v>3525</v>
      </c>
      <c r="F400" s="23">
        <v>0</v>
      </c>
      <c r="G400" s="23">
        <v>242</v>
      </c>
      <c r="H400" s="23">
        <v>0</v>
      </c>
      <c r="I400" s="23">
        <v>1010</v>
      </c>
      <c r="J400" s="23">
        <v>0</v>
      </c>
      <c r="K400" s="23">
        <v>0</v>
      </c>
      <c r="L400" s="32" t="s">
        <v>531</v>
      </c>
    </row>
    <row r="401" spans="1:12" x14ac:dyDescent="0.2">
      <c r="A401" s="69">
        <v>45782</v>
      </c>
      <c r="B401" s="23">
        <v>2757</v>
      </c>
      <c r="C401" s="23">
        <v>1017</v>
      </c>
      <c r="D401" s="23">
        <v>3774</v>
      </c>
      <c r="E401" s="23">
        <v>3525</v>
      </c>
      <c r="F401" s="23">
        <v>0</v>
      </c>
      <c r="G401" s="23">
        <v>249</v>
      </c>
      <c r="H401" s="23">
        <v>0</v>
      </c>
      <c r="I401" s="23">
        <v>1017</v>
      </c>
      <c r="J401" s="23">
        <v>0</v>
      </c>
      <c r="K401" s="23">
        <v>0</v>
      </c>
      <c r="L401" s="32" t="s">
        <v>523</v>
      </c>
    </row>
    <row r="402" spans="1:12" x14ac:dyDescent="0.2">
      <c r="A402" s="69">
        <v>45783</v>
      </c>
      <c r="B402" s="23">
        <v>2757</v>
      </c>
      <c r="C402" s="23">
        <v>1015</v>
      </c>
      <c r="D402" s="23">
        <v>3772</v>
      </c>
      <c r="E402" s="23">
        <v>3525</v>
      </c>
      <c r="F402" s="23">
        <v>0</v>
      </c>
      <c r="G402" s="23">
        <v>247</v>
      </c>
      <c r="H402" s="23">
        <v>0</v>
      </c>
      <c r="I402" s="23">
        <v>1015</v>
      </c>
      <c r="J402" s="23">
        <v>0</v>
      </c>
      <c r="K402" s="23">
        <v>0</v>
      </c>
      <c r="L402" s="32" t="s">
        <v>502</v>
      </c>
    </row>
    <row r="403" spans="1:12" x14ac:dyDescent="0.2">
      <c r="A403" s="69">
        <v>45784</v>
      </c>
      <c r="B403" s="23">
        <v>2757</v>
      </c>
      <c r="C403" s="23">
        <v>1012</v>
      </c>
      <c r="D403" s="23">
        <v>3769</v>
      </c>
      <c r="E403" s="23">
        <v>3525</v>
      </c>
      <c r="F403" s="23">
        <v>0</v>
      </c>
      <c r="G403" s="23">
        <v>244</v>
      </c>
      <c r="H403" s="23">
        <v>0</v>
      </c>
      <c r="I403" s="23">
        <v>1012</v>
      </c>
      <c r="J403" s="23">
        <v>0</v>
      </c>
      <c r="K403" s="23">
        <v>0</v>
      </c>
      <c r="L403" s="32" t="s">
        <v>532</v>
      </c>
    </row>
    <row r="404" spans="1:12" x14ac:dyDescent="0.2">
      <c r="A404" s="69">
        <v>45785</v>
      </c>
      <c r="B404" s="23">
        <v>2757</v>
      </c>
      <c r="C404" s="23">
        <v>1233</v>
      </c>
      <c r="D404" s="23">
        <v>3990</v>
      </c>
      <c r="E404" s="23">
        <v>3525</v>
      </c>
      <c r="F404" s="23">
        <v>0</v>
      </c>
      <c r="G404" s="23">
        <v>465</v>
      </c>
      <c r="H404" s="23">
        <v>0</v>
      </c>
      <c r="I404" s="23">
        <v>1233</v>
      </c>
      <c r="J404" s="23">
        <v>0</v>
      </c>
      <c r="K404" s="23">
        <v>0</v>
      </c>
      <c r="L404" s="32" t="s">
        <v>533</v>
      </c>
    </row>
    <row r="405" spans="1:12" x14ac:dyDescent="0.2">
      <c r="A405" s="69">
        <v>45786</v>
      </c>
      <c r="B405" s="23">
        <v>2757</v>
      </c>
      <c r="C405" s="23">
        <v>1310</v>
      </c>
      <c r="D405" s="23">
        <v>4067</v>
      </c>
      <c r="E405" s="23">
        <v>3525</v>
      </c>
      <c r="F405" s="23">
        <v>0</v>
      </c>
      <c r="G405" s="23">
        <v>542</v>
      </c>
      <c r="H405" s="23">
        <v>0</v>
      </c>
      <c r="I405" s="23">
        <v>1310</v>
      </c>
      <c r="J405" s="23">
        <v>0</v>
      </c>
      <c r="K405" s="23">
        <v>0</v>
      </c>
      <c r="L405" s="32" t="s">
        <v>534</v>
      </c>
    </row>
    <row r="406" spans="1:12" x14ac:dyDescent="0.2">
      <c r="A406" s="69">
        <v>45787</v>
      </c>
      <c r="B406" s="23">
        <v>2757</v>
      </c>
      <c r="C406" s="23">
        <v>1443</v>
      </c>
      <c r="D406" s="23">
        <v>4200</v>
      </c>
      <c r="E406" s="23">
        <v>3525</v>
      </c>
      <c r="F406" s="23">
        <v>0</v>
      </c>
      <c r="G406" s="23">
        <v>675</v>
      </c>
      <c r="H406" s="23">
        <v>0</v>
      </c>
      <c r="I406" s="23">
        <v>1443</v>
      </c>
      <c r="J406" s="23">
        <v>0</v>
      </c>
      <c r="K406" s="23">
        <v>0</v>
      </c>
      <c r="L406" s="32" t="s">
        <v>535</v>
      </c>
    </row>
    <row r="407" spans="1:12" x14ac:dyDescent="0.2">
      <c r="A407" s="69">
        <v>45788</v>
      </c>
      <c r="B407" s="23">
        <v>2757</v>
      </c>
      <c r="C407" s="23">
        <v>1405</v>
      </c>
      <c r="D407" s="23">
        <v>4162</v>
      </c>
      <c r="E407" s="23">
        <v>3525</v>
      </c>
      <c r="F407" s="23">
        <v>0</v>
      </c>
      <c r="G407" s="23">
        <v>637</v>
      </c>
      <c r="H407" s="23">
        <v>0</v>
      </c>
      <c r="I407" s="23">
        <v>1405</v>
      </c>
      <c r="J407" s="23">
        <v>0</v>
      </c>
      <c r="K407" s="23">
        <v>0</v>
      </c>
      <c r="L407" s="32" t="s">
        <v>536</v>
      </c>
    </row>
    <row r="408" spans="1:12" x14ac:dyDescent="0.2">
      <c r="A408" s="69">
        <v>45789</v>
      </c>
      <c r="B408" s="23">
        <v>2757</v>
      </c>
      <c r="C408" s="23">
        <v>1394</v>
      </c>
      <c r="D408" s="23">
        <v>4151</v>
      </c>
      <c r="E408" s="23">
        <v>3525</v>
      </c>
      <c r="F408" s="23">
        <v>0</v>
      </c>
      <c r="G408" s="23">
        <v>626</v>
      </c>
      <c r="H408" s="23">
        <v>0</v>
      </c>
      <c r="I408" s="23">
        <v>1394</v>
      </c>
      <c r="J408" s="23">
        <v>0</v>
      </c>
      <c r="K408" s="23">
        <v>0</v>
      </c>
      <c r="L408" s="32" t="s">
        <v>537</v>
      </c>
    </row>
    <row r="409" spans="1:12" x14ac:dyDescent="0.2">
      <c r="A409" s="69">
        <v>45790</v>
      </c>
      <c r="B409" s="23">
        <v>2757</v>
      </c>
      <c r="C409" s="23">
        <v>1497</v>
      </c>
      <c r="D409" s="23">
        <v>4254</v>
      </c>
      <c r="E409" s="23">
        <v>3525</v>
      </c>
      <c r="F409" s="23">
        <v>0</v>
      </c>
      <c r="G409" s="23">
        <v>729</v>
      </c>
      <c r="H409" s="23">
        <v>0</v>
      </c>
      <c r="I409" s="23">
        <v>1497</v>
      </c>
      <c r="J409" s="23">
        <v>0</v>
      </c>
      <c r="K409" s="23">
        <v>0</v>
      </c>
      <c r="L409" s="32" t="s">
        <v>538</v>
      </c>
    </row>
    <row r="410" spans="1:12" x14ac:dyDescent="0.2">
      <c r="A410" s="69">
        <v>45791</v>
      </c>
      <c r="B410" s="23">
        <v>2757</v>
      </c>
      <c r="C410" s="23">
        <v>1458</v>
      </c>
      <c r="D410" s="23">
        <v>4215</v>
      </c>
      <c r="E410" s="23">
        <v>3525</v>
      </c>
      <c r="F410" s="23">
        <v>0</v>
      </c>
      <c r="G410" s="23">
        <v>690</v>
      </c>
      <c r="H410" s="23">
        <v>0</v>
      </c>
      <c r="I410" s="23">
        <v>1458</v>
      </c>
      <c r="J410" s="23">
        <v>0</v>
      </c>
      <c r="K410" s="23">
        <v>0</v>
      </c>
      <c r="L410" s="32" t="s">
        <v>539</v>
      </c>
    </row>
    <row r="411" spans="1:12" x14ac:dyDescent="0.2">
      <c r="A411" s="69">
        <v>45792</v>
      </c>
      <c r="B411" s="23">
        <v>2757</v>
      </c>
      <c r="C411" s="23">
        <v>1424</v>
      </c>
      <c r="D411" s="23">
        <v>4181</v>
      </c>
      <c r="E411" s="23">
        <v>3525</v>
      </c>
      <c r="F411" s="23">
        <v>0</v>
      </c>
      <c r="G411" s="23">
        <v>656</v>
      </c>
      <c r="H411" s="23">
        <v>0</v>
      </c>
      <c r="I411" s="23">
        <v>1424</v>
      </c>
      <c r="J411" s="23">
        <v>0</v>
      </c>
      <c r="K411" s="23">
        <v>0</v>
      </c>
      <c r="L411" s="32" t="s">
        <v>540</v>
      </c>
    </row>
    <row r="412" spans="1:12" x14ac:dyDescent="0.2">
      <c r="A412" s="69">
        <v>45793</v>
      </c>
      <c r="B412" s="23">
        <v>3861</v>
      </c>
      <c r="C412" s="23">
        <v>1417</v>
      </c>
      <c r="D412" s="23">
        <v>5278</v>
      </c>
      <c r="E412" s="23">
        <v>4629</v>
      </c>
      <c r="F412" s="23">
        <v>0</v>
      </c>
      <c r="G412" s="23">
        <v>649</v>
      </c>
      <c r="H412" s="23">
        <v>0</v>
      </c>
      <c r="I412" s="23">
        <v>1417</v>
      </c>
      <c r="J412" s="23">
        <v>0</v>
      </c>
      <c r="K412" s="23">
        <v>0</v>
      </c>
      <c r="L412" s="32" t="s">
        <v>541</v>
      </c>
    </row>
    <row r="413" spans="1:12" x14ac:dyDescent="0.2">
      <c r="A413" s="69">
        <v>45794</v>
      </c>
      <c r="B413" s="23">
        <v>3861</v>
      </c>
      <c r="C413" s="23">
        <v>1383</v>
      </c>
      <c r="D413" s="23">
        <v>5244</v>
      </c>
      <c r="E413" s="23">
        <v>4629</v>
      </c>
      <c r="F413" s="23">
        <v>0</v>
      </c>
      <c r="G413" s="23">
        <v>615</v>
      </c>
      <c r="H413" s="23">
        <v>0</v>
      </c>
      <c r="I413" s="23">
        <v>1383</v>
      </c>
      <c r="J413" s="23">
        <v>0</v>
      </c>
      <c r="K413" s="23">
        <v>0</v>
      </c>
      <c r="L413" s="32" t="s">
        <v>542</v>
      </c>
    </row>
    <row r="414" spans="1:12" x14ac:dyDescent="0.2">
      <c r="A414" s="69">
        <v>45795</v>
      </c>
      <c r="B414" s="23">
        <v>3861</v>
      </c>
      <c r="C414" s="23">
        <v>1395</v>
      </c>
      <c r="D414" s="23">
        <v>5256</v>
      </c>
      <c r="E414" s="23">
        <v>4629</v>
      </c>
      <c r="F414" s="23">
        <v>0</v>
      </c>
      <c r="G414" s="23">
        <v>627</v>
      </c>
      <c r="H414" s="23">
        <v>0</v>
      </c>
      <c r="I414" s="23">
        <v>1395</v>
      </c>
      <c r="J414" s="23">
        <v>0</v>
      </c>
      <c r="K414" s="23">
        <v>0</v>
      </c>
      <c r="L414" s="32" t="s">
        <v>543</v>
      </c>
    </row>
    <row r="415" spans="1:12" x14ac:dyDescent="0.2">
      <c r="A415" s="69">
        <v>45796</v>
      </c>
      <c r="B415" s="23">
        <v>3861</v>
      </c>
      <c r="C415" s="23">
        <v>1412</v>
      </c>
      <c r="D415" s="23">
        <v>5273</v>
      </c>
      <c r="E415" s="23">
        <v>4629</v>
      </c>
      <c r="F415" s="23">
        <v>0</v>
      </c>
      <c r="G415" s="23">
        <v>644</v>
      </c>
      <c r="H415" s="23">
        <v>0</v>
      </c>
      <c r="I415" s="23">
        <v>1412</v>
      </c>
      <c r="J415" s="23">
        <v>0</v>
      </c>
      <c r="K415" s="23">
        <v>0</v>
      </c>
      <c r="L415" s="32" t="s">
        <v>544</v>
      </c>
    </row>
    <row r="416" spans="1:12" x14ac:dyDescent="0.2">
      <c r="A416" s="69">
        <v>45797</v>
      </c>
      <c r="B416" s="23">
        <v>3861</v>
      </c>
      <c r="C416" s="23">
        <v>1410</v>
      </c>
      <c r="D416" s="23">
        <v>5271</v>
      </c>
      <c r="E416" s="23">
        <v>4629</v>
      </c>
      <c r="F416" s="23">
        <v>0</v>
      </c>
      <c r="G416" s="23">
        <v>642</v>
      </c>
      <c r="H416" s="23">
        <v>0</v>
      </c>
      <c r="I416" s="23">
        <v>1410</v>
      </c>
      <c r="J416" s="23">
        <v>0</v>
      </c>
      <c r="K416" s="23">
        <v>0</v>
      </c>
      <c r="L416" s="32" t="s">
        <v>545</v>
      </c>
    </row>
    <row r="417" spans="1:12" x14ac:dyDescent="0.2">
      <c r="A417" s="69">
        <v>45798</v>
      </c>
      <c r="B417" s="23">
        <v>3861</v>
      </c>
      <c r="C417" s="23">
        <v>1425</v>
      </c>
      <c r="D417" s="23">
        <v>5286</v>
      </c>
      <c r="E417" s="23">
        <v>4629</v>
      </c>
      <c r="F417" s="23">
        <v>0</v>
      </c>
      <c r="G417" s="23">
        <v>657</v>
      </c>
      <c r="H417" s="23">
        <v>0</v>
      </c>
      <c r="I417" s="23">
        <v>1425</v>
      </c>
      <c r="J417" s="23">
        <v>0</v>
      </c>
      <c r="K417" s="23">
        <v>0</v>
      </c>
      <c r="L417" s="32" t="s">
        <v>546</v>
      </c>
    </row>
    <row r="418" spans="1:12" x14ac:dyDescent="0.2">
      <c r="A418" s="69">
        <v>45799</v>
      </c>
      <c r="B418" s="23">
        <v>3861</v>
      </c>
      <c r="C418" s="23">
        <v>1489</v>
      </c>
      <c r="D418" s="23">
        <v>5350</v>
      </c>
      <c r="E418" s="23">
        <v>4629</v>
      </c>
      <c r="F418" s="23">
        <v>0</v>
      </c>
      <c r="G418" s="23">
        <v>721</v>
      </c>
      <c r="H418" s="23">
        <v>0</v>
      </c>
      <c r="I418" s="23">
        <v>1489</v>
      </c>
      <c r="J418" s="23">
        <v>0</v>
      </c>
      <c r="K418" s="23">
        <v>0</v>
      </c>
      <c r="L418" s="32" t="s">
        <v>547</v>
      </c>
    </row>
    <row r="419" spans="1:12" x14ac:dyDescent="0.2">
      <c r="A419" s="69">
        <v>45800</v>
      </c>
      <c r="B419" s="23">
        <v>3861</v>
      </c>
      <c r="C419" s="23">
        <v>1411</v>
      </c>
      <c r="D419" s="23">
        <v>5272</v>
      </c>
      <c r="E419" s="23">
        <v>4629</v>
      </c>
      <c r="F419" s="23">
        <v>0</v>
      </c>
      <c r="G419" s="23">
        <v>643</v>
      </c>
      <c r="H419" s="23">
        <v>0</v>
      </c>
      <c r="I419" s="23">
        <v>1411</v>
      </c>
      <c r="J419" s="23">
        <v>0</v>
      </c>
      <c r="K419" s="23">
        <v>0</v>
      </c>
      <c r="L419" s="32" t="s">
        <v>548</v>
      </c>
    </row>
    <row r="420" spans="1:12" x14ac:dyDescent="0.2">
      <c r="A420" s="69">
        <v>45801</v>
      </c>
      <c r="B420" s="23">
        <v>3861</v>
      </c>
      <c r="C420" s="23">
        <v>1414</v>
      </c>
      <c r="D420" s="23">
        <v>5274</v>
      </c>
      <c r="E420" s="23">
        <v>4629</v>
      </c>
      <c r="F420" s="23">
        <v>0</v>
      </c>
      <c r="G420" s="23">
        <v>645</v>
      </c>
      <c r="H420" s="23">
        <v>0</v>
      </c>
      <c r="I420" s="23">
        <v>1414</v>
      </c>
      <c r="J420" s="23">
        <v>0</v>
      </c>
      <c r="K420" s="23">
        <v>0</v>
      </c>
      <c r="L420" s="32" t="s">
        <v>549</v>
      </c>
    </row>
    <row r="421" spans="1:12" x14ac:dyDescent="0.2">
      <c r="A421" s="69">
        <v>45802</v>
      </c>
      <c r="B421" s="23">
        <v>3861</v>
      </c>
      <c r="C421" s="23">
        <v>1425</v>
      </c>
      <c r="D421" s="23">
        <v>5286</v>
      </c>
      <c r="E421" s="23">
        <v>4629</v>
      </c>
      <c r="F421" s="23">
        <v>0</v>
      </c>
      <c r="G421" s="23">
        <v>657</v>
      </c>
      <c r="H421" s="23">
        <v>0</v>
      </c>
      <c r="I421" s="23">
        <v>1425</v>
      </c>
      <c r="J421" s="23">
        <v>0</v>
      </c>
      <c r="K421" s="23">
        <v>0</v>
      </c>
      <c r="L421" s="32" t="s">
        <v>546</v>
      </c>
    </row>
    <row r="422" spans="1:12" x14ac:dyDescent="0.2">
      <c r="A422" s="69">
        <v>45803</v>
      </c>
      <c r="B422" s="23">
        <v>3861</v>
      </c>
      <c r="C422" s="23">
        <v>1432</v>
      </c>
      <c r="D422" s="23">
        <v>5293</v>
      </c>
      <c r="E422" s="23">
        <v>4629</v>
      </c>
      <c r="F422" s="23">
        <v>0</v>
      </c>
      <c r="G422" s="23">
        <v>664</v>
      </c>
      <c r="H422" s="23">
        <v>0</v>
      </c>
      <c r="I422" s="23">
        <v>1432</v>
      </c>
      <c r="J422" s="23">
        <v>0</v>
      </c>
      <c r="K422" s="23">
        <v>0</v>
      </c>
      <c r="L422" s="32" t="s">
        <v>550</v>
      </c>
    </row>
    <row r="423" spans="1:12" x14ac:dyDescent="0.2">
      <c r="A423" s="69">
        <v>45804</v>
      </c>
      <c r="B423" s="23">
        <v>3861</v>
      </c>
      <c r="C423" s="23">
        <v>1486</v>
      </c>
      <c r="D423" s="23">
        <v>5347</v>
      </c>
      <c r="E423" s="23">
        <v>4629</v>
      </c>
      <c r="F423" s="23">
        <v>0</v>
      </c>
      <c r="G423" s="23">
        <v>718</v>
      </c>
      <c r="H423" s="23">
        <v>0</v>
      </c>
      <c r="I423" s="23">
        <v>1486</v>
      </c>
      <c r="J423" s="23">
        <v>0</v>
      </c>
      <c r="K423" s="23">
        <v>0</v>
      </c>
      <c r="L423" s="32" t="s">
        <v>551</v>
      </c>
    </row>
    <row r="424" spans="1:12" x14ac:dyDescent="0.2">
      <c r="A424" s="69">
        <v>45805</v>
      </c>
      <c r="B424" s="23">
        <v>3861</v>
      </c>
      <c r="C424" s="23">
        <v>1498</v>
      </c>
      <c r="D424" s="23">
        <v>5359</v>
      </c>
      <c r="E424" s="23">
        <v>4629</v>
      </c>
      <c r="F424" s="23">
        <v>0</v>
      </c>
      <c r="G424" s="23">
        <v>730</v>
      </c>
      <c r="H424" s="23">
        <v>0</v>
      </c>
      <c r="I424" s="23">
        <v>1498</v>
      </c>
      <c r="J424" s="23">
        <v>0</v>
      </c>
      <c r="K424" s="23">
        <v>0</v>
      </c>
      <c r="L424" s="32" t="s">
        <v>552</v>
      </c>
    </row>
    <row r="425" spans="1:12" x14ac:dyDescent="0.2">
      <c r="A425" s="69">
        <v>45806</v>
      </c>
      <c r="B425" s="23">
        <v>3861</v>
      </c>
      <c r="C425" s="23">
        <v>1470</v>
      </c>
      <c r="D425" s="23">
        <v>5331</v>
      </c>
      <c r="E425" s="23">
        <v>4629</v>
      </c>
      <c r="F425" s="23">
        <v>0</v>
      </c>
      <c r="G425" s="23">
        <v>702</v>
      </c>
      <c r="H425" s="23">
        <v>0</v>
      </c>
      <c r="I425" s="23">
        <v>1470</v>
      </c>
      <c r="J425" s="23">
        <v>0</v>
      </c>
      <c r="K425" s="23">
        <v>0</v>
      </c>
      <c r="L425" s="32" t="s">
        <v>553</v>
      </c>
    </row>
    <row r="426" spans="1:12" x14ac:dyDescent="0.2">
      <c r="A426" s="69">
        <v>45807</v>
      </c>
      <c r="B426" s="23">
        <v>3861</v>
      </c>
      <c r="C426" s="23">
        <v>1414</v>
      </c>
      <c r="D426" s="23">
        <v>5275</v>
      </c>
      <c r="E426" s="23">
        <v>4629</v>
      </c>
      <c r="F426" s="23">
        <v>0</v>
      </c>
      <c r="G426" s="23">
        <v>646</v>
      </c>
      <c r="H426" s="23">
        <v>0</v>
      </c>
      <c r="I426" s="23">
        <v>1414</v>
      </c>
      <c r="J426" s="23">
        <v>0</v>
      </c>
      <c r="K426" s="23">
        <v>0</v>
      </c>
      <c r="L426" s="32" t="s">
        <v>549</v>
      </c>
    </row>
    <row r="427" spans="1:12" x14ac:dyDescent="0.2">
      <c r="A427" s="69">
        <v>45808</v>
      </c>
      <c r="B427" s="23">
        <v>3861</v>
      </c>
      <c r="C427" s="23">
        <v>1412</v>
      </c>
      <c r="D427" s="23">
        <v>5273</v>
      </c>
      <c r="E427" s="23">
        <v>4629</v>
      </c>
      <c r="F427" s="23">
        <v>0</v>
      </c>
      <c r="G427" s="23">
        <v>644</v>
      </c>
      <c r="H427" s="23">
        <v>0</v>
      </c>
      <c r="I427" s="23">
        <v>1412</v>
      </c>
      <c r="J427" s="23">
        <v>0</v>
      </c>
      <c r="K427" s="23">
        <v>0</v>
      </c>
      <c r="L427" s="32" t="s">
        <v>544</v>
      </c>
    </row>
    <row r="428" spans="1:12" x14ac:dyDescent="0.2">
      <c r="A428" s="69">
        <v>45809</v>
      </c>
      <c r="B428" s="23">
        <v>3861</v>
      </c>
      <c r="C428" s="23">
        <v>1418</v>
      </c>
      <c r="D428" s="23">
        <v>5279</v>
      </c>
      <c r="E428" s="23">
        <v>4629</v>
      </c>
      <c r="F428" s="23">
        <v>0</v>
      </c>
      <c r="G428" s="23">
        <v>650</v>
      </c>
      <c r="H428" s="23">
        <v>0</v>
      </c>
      <c r="I428" s="23">
        <v>1418</v>
      </c>
      <c r="J428" s="23">
        <v>0</v>
      </c>
      <c r="K428" s="23">
        <v>0</v>
      </c>
      <c r="L428" s="32" t="s">
        <v>554</v>
      </c>
    </row>
    <row r="429" spans="1:12" x14ac:dyDescent="0.2">
      <c r="A429" s="69">
        <v>45810</v>
      </c>
      <c r="B429" s="23">
        <v>3861</v>
      </c>
      <c r="C429" s="23">
        <v>1457</v>
      </c>
      <c r="D429" s="23">
        <v>5317</v>
      </c>
      <c r="E429" s="23">
        <v>4629</v>
      </c>
      <c r="F429" s="23">
        <v>0</v>
      </c>
      <c r="G429" s="23">
        <v>688</v>
      </c>
      <c r="H429" s="23">
        <v>0</v>
      </c>
      <c r="I429" s="23">
        <v>1457</v>
      </c>
      <c r="J429" s="23">
        <v>0</v>
      </c>
      <c r="K429" s="23">
        <v>0</v>
      </c>
      <c r="L429" s="32" t="s">
        <v>555</v>
      </c>
    </row>
    <row r="430" spans="1:12" x14ac:dyDescent="0.2">
      <c r="A430" s="69">
        <v>45811</v>
      </c>
      <c r="B430" s="23">
        <v>3861</v>
      </c>
      <c r="C430" s="23">
        <v>1449</v>
      </c>
      <c r="D430" s="23">
        <v>5310</v>
      </c>
      <c r="E430" s="23">
        <v>4629</v>
      </c>
      <c r="F430" s="23">
        <v>0</v>
      </c>
      <c r="G430" s="23">
        <v>681</v>
      </c>
      <c r="H430" s="23">
        <v>0</v>
      </c>
      <c r="I430" s="23">
        <v>1449</v>
      </c>
      <c r="J430" s="23">
        <v>0</v>
      </c>
      <c r="K430" s="23">
        <v>0</v>
      </c>
      <c r="L430" s="32" t="s">
        <v>556</v>
      </c>
    </row>
    <row r="431" spans="1:12" x14ac:dyDescent="0.2">
      <c r="A431" s="69">
        <v>45812</v>
      </c>
      <c r="B431" s="23">
        <v>3861</v>
      </c>
      <c r="C431" s="23">
        <v>1457</v>
      </c>
      <c r="D431" s="23">
        <v>5318</v>
      </c>
      <c r="E431" s="23">
        <v>4629</v>
      </c>
      <c r="F431" s="23">
        <v>0</v>
      </c>
      <c r="G431" s="23">
        <v>689</v>
      </c>
      <c r="H431" s="23">
        <v>0</v>
      </c>
      <c r="I431" s="23">
        <v>1457</v>
      </c>
      <c r="J431" s="23">
        <v>0</v>
      </c>
      <c r="K431" s="23">
        <v>0</v>
      </c>
      <c r="L431" s="32" t="s">
        <v>555</v>
      </c>
    </row>
    <row r="432" spans="1:12" x14ac:dyDescent="0.2">
      <c r="A432" s="69">
        <v>45813</v>
      </c>
      <c r="B432" s="23">
        <v>3861</v>
      </c>
      <c r="C432" s="23">
        <v>1349</v>
      </c>
      <c r="D432" s="23">
        <v>5209</v>
      </c>
      <c r="E432" s="23">
        <v>4629</v>
      </c>
      <c r="F432" s="23">
        <v>0</v>
      </c>
      <c r="G432" s="23">
        <v>580</v>
      </c>
      <c r="H432" s="23">
        <v>0</v>
      </c>
      <c r="I432" s="23">
        <v>1349</v>
      </c>
      <c r="J432" s="23">
        <v>0</v>
      </c>
      <c r="K432" s="23">
        <v>0</v>
      </c>
      <c r="L432" s="32" t="s">
        <v>557</v>
      </c>
    </row>
    <row r="433" spans="1:12" x14ac:dyDescent="0.2">
      <c r="A433" s="69">
        <v>45814</v>
      </c>
      <c r="B433" s="23">
        <v>3861</v>
      </c>
      <c r="C433" s="23">
        <v>1383</v>
      </c>
      <c r="D433" s="23">
        <v>5244</v>
      </c>
      <c r="E433" s="23">
        <v>4629</v>
      </c>
      <c r="F433" s="23">
        <v>0</v>
      </c>
      <c r="G433" s="23">
        <v>615</v>
      </c>
      <c r="H433" s="23">
        <v>0</v>
      </c>
      <c r="I433" s="23">
        <v>1383</v>
      </c>
      <c r="J433" s="23">
        <v>0</v>
      </c>
      <c r="K433" s="23">
        <v>0</v>
      </c>
      <c r="L433" s="32" t="s">
        <v>542</v>
      </c>
    </row>
    <row r="434" spans="1:12" x14ac:dyDescent="0.2">
      <c r="A434" s="69">
        <v>45815</v>
      </c>
      <c r="B434" s="23">
        <v>3861</v>
      </c>
      <c r="C434" s="23">
        <v>1410</v>
      </c>
      <c r="D434" s="23">
        <v>5271</v>
      </c>
      <c r="E434" s="23">
        <v>4629</v>
      </c>
      <c r="F434" s="23">
        <v>0</v>
      </c>
      <c r="G434" s="23">
        <v>642</v>
      </c>
      <c r="H434" s="23">
        <v>0</v>
      </c>
      <c r="I434" s="23">
        <v>1410</v>
      </c>
      <c r="J434" s="23">
        <v>0</v>
      </c>
      <c r="K434" s="23">
        <v>0</v>
      </c>
      <c r="L434" s="32" t="s">
        <v>545</v>
      </c>
    </row>
    <row r="435" spans="1:12" x14ac:dyDescent="0.2">
      <c r="A435" s="69">
        <v>45816</v>
      </c>
      <c r="B435" s="23">
        <v>3861</v>
      </c>
      <c r="C435" s="23">
        <v>1402</v>
      </c>
      <c r="D435" s="23">
        <v>5263</v>
      </c>
      <c r="E435" s="23">
        <v>4629</v>
      </c>
      <c r="F435" s="23">
        <v>0</v>
      </c>
      <c r="G435" s="23">
        <v>634</v>
      </c>
      <c r="H435" s="23">
        <v>0</v>
      </c>
      <c r="I435" s="23">
        <v>1402</v>
      </c>
      <c r="J435" s="23">
        <v>0</v>
      </c>
      <c r="K435" s="23">
        <v>0</v>
      </c>
      <c r="L435" s="32" t="s">
        <v>558</v>
      </c>
    </row>
    <row r="436" spans="1:12" x14ac:dyDescent="0.2">
      <c r="A436" s="69">
        <v>45817</v>
      </c>
      <c r="B436" s="23">
        <v>3861</v>
      </c>
      <c r="C436" s="23">
        <v>1497</v>
      </c>
      <c r="D436" s="23">
        <v>5358</v>
      </c>
      <c r="E436" s="23">
        <v>4629</v>
      </c>
      <c r="F436" s="23">
        <v>0</v>
      </c>
      <c r="G436" s="23">
        <v>729</v>
      </c>
      <c r="H436" s="23">
        <v>0</v>
      </c>
      <c r="I436" s="23">
        <v>1497</v>
      </c>
      <c r="J436" s="23">
        <v>0</v>
      </c>
      <c r="K436" s="23">
        <v>0</v>
      </c>
      <c r="L436" s="32" t="s">
        <v>538</v>
      </c>
    </row>
    <row r="437" spans="1:12" x14ac:dyDescent="0.2">
      <c r="A437" s="69">
        <v>45818</v>
      </c>
      <c r="B437" s="23">
        <v>3861</v>
      </c>
      <c r="C437" s="23">
        <v>1573</v>
      </c>
      <c r="D437" s="23">
        <v>5434</v>
      </c>
      <c r="E437" s="23">
        <v>4629</v>
      </c>
      <c r="F437" s="23">
        <v>0</v>
      </c>
      <c r="G437" s="23">
        <v>805</v>
      </c>
      <c r="H437" s="23">
        <v>0</v>
      </c>
      <c r="I437" s="23">
        <v>1573</v>
      </c>
      <c r="J437" s="23">
        <v>0</v>
      </c>
      <c r="K437" s="23">
        <v>0</v>
      </c>
      <c r="L437" s="32" t="s">
        <v>559</v>
      </c>
    </row>
    <row r="438" spans="1:12" x14ac:dyDescent="0.2">
      <c r="A438" s="69">
        <v>45819</v>
      </c>
      <c r="B438" s="23">
        <v>3861</v>
      </c>
      <c r="C438" s="23">
        <v>1548</v>
      </c>
      <c r="D438" s="23">
        <v>5409</v>
      </c>
      <c r="E438" s="23">
        <v>4629</v>
      </c>
      <c r="F438" s="23">
        <v>0</v>
      </c>
      <c r="G438" s="23">
        <v>780</v>
      </c>
      <c r="H438" s="23">
        <v>0</v>
      </c>
      <c r="I438" s="23">
        <v>1548</v>
      </c>
      <c r="J438" s="23">
        <v>0</v>
      </c>
      <c r="K438" s="23">
        <v>0</v>
      </c>
      <c r="L438" s="32" t="s">
        <v>560</v>
      </c>
    </row>
    <row r="439" spans="1:12" x14ac:dyDescent="0.2">
      <c r="A439" s="69">
        <v>45820</v>
      </c>
      <c r="B439" s="23">
        <v>3861</v>
      </c>
      <c r="C439" s="23">
        <v>1476</v>
      </c>
      <c r="D439" s="23">
        <v>5337</v>
      </c>
      <c r="E439" s="23">
        <v>4629</v>
      </c>
      <c r="F439" s="23">
        <v>0</v>
      </c>
      <c r="G439" s="23">
        <v>708</v>
      </c>
      <c r="H439" s="23">
        <v>0</v>
      </c>
      <c r="I439" s="23">
        <v>1476</v>
      </c>
      <c r="J439" s="23">
        <v>0</v>
      </c>
      <c r="K439" s="23">
        <v>0</v>
      </c>
      <c r="L439" s="32" t="s">
        <v>561</v>
      </c>
    </row>
    <row r="440" spans="1:12" x14ac:dyDescent="0.2">
      <c r="A440" s="69">
        <v>45821</v>
      </c>
      <c r="B440" s="23">
        <v>3861</v>
      </c>
      <c r="C440" s="23">
        <v>1441</v>
      </c>
      <c r="D440" s="23">
        <v>5302</v>
      </c>
      <c r="E440" s="23">
        <v>4629</v>
      </c>
      <c r="F440" s="23">
        <v>0</v>
      </c>
      <c r="G440" s="23">
        <v>673</v>
      </c>
      <c r="H440" s="23">
        <v>0</v>
      </c>
      <c r="I440" s="23">
        <v>1441</v>
      </c>
      <c r="J440" s="23">
        <v>0</v>
      </c>
      <c r="K440" s="23">
        <v>0</v>
      </c>
      <c r="L440" s="32" t="s">
        <v>562</v>
      </c>
    </row>
    <row r="441" spans="1:12" x14ac:dyDescent="0.2">
      <c r="A441" s="69">
        <v>45822</v>
      </c>
      <c r="B441" s="23">
        <v>3861</v>
      </c>
      <c r="C441" s="23">
        <v>1414</v>
      </c>
      <c r="D441" s="23">
        <v>5275</v>
      </c>
      <c r="E441" s="23">
        <v>4629</v>
      </c>
      <c r="F441" s="23">
        <v>0</v>
      </c>
      <c r="G441" s="23">
        <v>646</v>
      </c>
      <c r="H441" s="23">
        <v>0</v>
      </c>
      <c r="I441" s="23">
        <v>1414</v>
      </c>
      <c r="J441" s="23">
        <v>0</v>
      </c>
      <c r="K441" s="23">
        <v>0</v>
      </c>
      <c r="L441" s="32" t="s">
        <v>549</v>
      </c>
    </row>
    <row r="442" spans="1:12" x14ac:dyDescent="0.2">
      <c r="A442" s="69">
        <v>45823</v>
      </c>
      <c r="B442" s="23">
        <v>3861</v>
      </c>
      <c r="C442" s="23">
        <v>1423</v>
      </c>
      <c r="D442" s="23">
        <v>5284</v>
      </c>
      <c r="E442" s="23">
        <v>4629</v>
      </c>
      <c r="F442" s="23">
        <v>0</v>
      </c>
      <c r="G442" s="23">
        <v>655</v>
      </c>
      <c r="H442" s="23">
        <v>0</v>
      </c>
      <c r="I442" s="23">
        <v>1423</v>
      </c>
      <c r="J442" s="23">
        <v>0</v>
      </c>
      <c r="K442" s="23">
        <v>0</v>
      </c>
      <c r="L442" s="32" t="s">
        <v>563</v>
      </c>
    </row>
    <row r="443" spans="1:12" x14ac:dyDescent="0.2">
      <c r="A443" s="69">
        <v>45824</v>
      </c>
      <c r="B443" s="23">
        <v>3861</v>
      </c>
      <c r="C443" s="23">
        <v>1421</v>
      </c>
      <c r="D443" s="23">
        <v>5282</v>
      </c>
      <c r="E443" s="23">
        <v>4629</v>
      </c>
      <c r="F443" s="23">
        <v>0</v>
      </c>
      <c r="G443" s="23">
        <v>653</v>
      </c>
      <c r="H443" s="23">
        <v>0</v>
      </c>
      <c r="I443" s="23">
        <v>1421</v>
      </c>
      <c r="J443" s="23">
        <v>0</v>
      </c>
      <c r="K443" s="23">
        <v>0</v>
      </c>
      <c r="L443" s="32" t="s">
        <v>564</v>
      </c>
    </row>
    <row r="444" spans="1:12" x14ac:dyDescent="0.2">
      <c r="A444" s="69">
        <v>45825</v>
      </c>
      <c r="B444" s="23">
        <v>3861</v>
      </c>
      <c r="C444" s="23">
        <v>1402</v>
      </c>
      <c r="D444" s="23">
        <v>5263</v>
      </c>
      <c r="E444" s="23">
        <v>4629</v>
      </c>
      <c r="F444" s="23">
        <v>0</v>
      </c>
      <c r="G444" s="23">
        <v>634</v>
      </c>
      <c r="H444" s="23">
        <v>0</v>
      </c>
      <c r="I444" s="23">
        <v>1402</v>
      </c>
      <c r="J444" s="23">
        <v>0</v>
      </c>
      <c r="K444" s="23">
        <v>0</v>
      </c>
      <c r="L444" s="32" t="s">
        <v>558</v>
      </c>
    </row>
    <row r="445" spans="1:12" x14ac:dyDescent="0.2">
      <c r="A445" s="69">
        <v>45826</v>
      </c>
      <c r="B445" s="23">
        <v>3861</v>
      </c>
      <c r="C445" s="23">
        <v>1411</v>
      </c>
      <c r="D445" s="23">
        <v>5271</v>
      </c>
      <c r="E445" s="23">
        <v>4629</v>
      </c>
      <c r="F445" s="23">
        <v>0</v>
      </c>
      <c r="G445" s="23">
        <v>642</v>
      </c>
      <c r="H445" s="23">
        <v>0</v>
      </c>
      <c r="I445" s="23">
        <v>1411</v>
      </c>
      <c r="J445" s="23">
        <v>0</v>
      </c>
      <c r="K445" s="23">
        <v>0</v>
      </c>
      <c r="L445" s="32" t="s">
        <v>548</v>
      </c>
    </row>
    <row r="446" spans="1:12" x14ac:dyDescent="0.2">
      <c r="A446" s="69">
        <v>45827</v>
      </c>
      <c r="B446" s="23">
        <v>3861</v>
      </c>
      <c r="C446" s="23">
        <v>1408</v>
      </c>
      <c r="D446" s="23">
        <v>5269</v>
      </c>
      <c r="E446" s="23">
        <v>4629</v>
      </c>
      <c r="F446" s="23">
        <v>0</v>
      </c>
      <c r="G446" s="23">
        <v>640</v>
      </c>
      <c r="H446" s="23">
        <v>0</v>
      </c>
      <c r="I446" s="23">
        <v>1408</v>
      </c>
      <c r="J446" s="23">
        <v>0</v>
      </c>
      <c r="K446" s="23">
        <v>0</v>
      </c>
      <c r="L446" s="32" t="s">
        <v>565</v>
      </c>
    </row>
    <row r="447" spans="1:12" x14ac:dyDescent="0.2">
      <c r="A447" s="69">
        <v>45828</v>
      </c>
      <c r="B447" s="23">
        <v>3861</v>
      </c>
      <c r="C447" s="23">
        <v>1344</v>
      </c>
      <c r="D447" s="23">
        <v>5205</v>
      </c>
      <c r="E447" s="23">
        <v>4629</v>
      </c>
      <c r="F447" s="23">
        <v>0</v>
      </c>
      <c r="G447" s="23">
        <v>576</v>
      </c>
      <c r="H447" s="23">
        <v>0</v>
      </c>
      <c r="I447" s="23">
        <v>1344</v>
      </c>
      <c r="J447" s="23">
        <v>0</v>
      </c>
      <c r="K447" s="23">
        <v>0</v>
      </c>
      <c r="L447" s="32" t="s">
        <v>566</v>
      </c>
    </row>
    <row r="448" spans="1:12" x14ac:dyDescent="0.2">
      <c r="A448" s="69">
        <v>45829</v>
      </c>
      <c r="B448" s="23">
        <v>3861</v>
      </c>
      <c r="C448" s="23">
        <v>1282</v>
      </c>
      <c r="D448" s="23">
        <v>5143</v>
      </c>
      <c r="E448" s="23">
        <v>4629</v>
      </c>
      <c r="F448" s="23">
        <v>0</v>
      </c>
      <c r="G448" s="23">
        <v>514</v>
      </c>
      <c r="H448" s="23">
        <v>0</v>
      </c>
      <c r="I448" s="23">
        <v>1282</v>
      </c>
      <c r="J448" s="23">
        <v>0</v>
      </c>
      <c r="K448" s="23">
        <v>0</v>
      </c>
      <c r="L448" s="32" t="s">
        <v>567</v>
      </c>
    </row>
    <row r="449" spans="1:12" x14ac:dyDescent="0.2">
      <c r="A449" s="69">
        <v>45830</v>
      </c>
      <c r="B449" s="23">
        <v>3861</v>
      </c>
      <c r="C449" s="23">
        <v>1244</v>
      </c>
      <c r="D449" s="23">
        <v>5105</v>
      </c>
      <c r="E449" s="23">
        <v>4629</v>
      </c>
      <c r="F449" s="23">
        <v>0</v>
      </c>
      <c r="G449" s="23">
        <v>476</v>
      </c>
      <c r="H449" s="23">
        <v>0</v>
      </c>
      <c r="I449" s="23">
        <v>1244</v>
      </c>
      <c r="J449" s="23">
        <v>0</v>
      </c>
      <c r="K449" s="23">
        <v>0</v>
      </c>
      <c r="L449" s="32" t="s">
        <v>568</v>
      </c>
    </row>
    <row r="450" spans="1:12" x14ac:dyDescent="0.2">
      <c r="A450" s="69">
        <v>45831</v>
      </c>
      <c r="B450" s="23">
        <v>3861</v>
      </c>
      <c r="C450" s="23">
        <v>1347</v>
      </c>
      <c r="D450" s="23">
        <v>5208</v>
      </c>
      <c r="E450" s="23">
        <v>4629</v>
      </c>
      <c r="F450" s="23">
        <v>0</v>
      </c>
      <c r="G450" s="23">
        <v>579</v>
      </c>
      <c r="H450" s="23">
        <v>0</v>
      </c>
      <c r="I450" s="23">
        <v>1347</v>
      </c>
      <c r="J450" s="23">
        <v>0</v>
      </c>
      <c r="K450" s="23">
        <v>0</v>
      </c>
      <c r="L450" s="32" t="s">
        <v>569</v>
      </c>
    </row>
    <row r="451" spans="1:12" x14ac:dyDescent="0.2">
      <c r="A451" s="69">
        <v>45832</v>
      </c>
      <c r="B451" s="23">
        <v>3861</v>
      </c>
      <c r="C451" s="23">
        <v>1368</v>
      </c>
      <c r="D451" s="23">
        <v>5229</v>
      </c>
      <c r="E451" s="23">
        <v>4629</v>
      </c>
      <c r="F451" s="23">
        <v>0</v>
      </c>
      <c r="G451" s="23">
        <v>600</v>
      </c>
      <c r="H451" s="23">
        <v>0</v>
      </c>
      <c r="I451" s="23">
        <v>1368</v>
      </c>
      <c r="J451" s="23">
        <v>0</v>
      </c>
      <c r="K451" s="23">
        <v>0</v>
      </c>
      <c r="L451" s="32" t="s">
        <v>570</v>
      </c>
    </row>
    <row r="452" spans="1:12" x14ac:dyDescent="0.2">
      <c r="A452" s="69">
        <v>45833</v>
      </c>
      <c r="B452" s="23">
        <v>3861</v>
      </c>
      <c r="C452" s="23">
        <v>1351</v>
      </c>
      <c r="D452" s="23">
        <v>5212</v>
      </c>
      <c r="E452" s="23">
        <v>4629</v>
      </c>
      <c r="F452" s="23">
        <v>0</v>
      </c>
      <c r="G452" s="23">
        <v>583</v>
      </c>
      <c r="H452" s="23">
        <v>0</v>
      </c>
      <c r="I452" s="23">
        <v>1351</v>
      </c>
      <c r="J452" s="23">
        <v>0</v>
      </c>
      <c r="K452" s="23">
        <v>0</v>
      </c>
      <c r="L452" s="32" t="s">
        <v>571</v>
      </c>
    </row>
    <row r="453" spans="1:12" x14ac:dyDescent="0.2">
      <c r="A453" s="69">
        <v>45834</v>
      </c>
      <c r="B453" s="23">
        <v>3861</v>
      </c>
      <c r="C453" s="23">
        <v>1350</v>
      </c>
      <c r="D453" s="23">
        <v>5210</v>
      </c>
      <c r="E453" s="23">
        <v>4629</v>
      </c>
      <c r="F453" s="23">
        <v>0</v>
      </c>
      <c r="G453" s="23">
        <v>582</v>
      </c>
      <c r="H453" s="23">
        <v>0</v>
      </c>
      <c r="I453" s="23">
        <v>1350</v>
      </c>
      <c r="J453" s="23">
        <v>0</v>
      </c>
      <c r="K453" s="23">
        <v>0</v>
      </c>
      <c r="L453" s="32" t="s">
        <v>572</v>
      </c>
    </row>
    <row r="454" spans="1:12" x14ac:dyDescent="0.2">
      <c r="A454" s="69">
        <v>45835</v>
      </c>
      <c r="B454" s="23">
        <v>3561</v>
      </c>
      <c r="C454" s="23">
        <v>1354</v>
      </c>
      <c r="D454" s="23">
        <v>4915</v>
      </c>
      <c r="E454" s="23">
        <v>4629</v>
      </c>
      <c r="F454" s="23">
        <v>300</v>
      </c>
      <c r="G454" s="23">
        <v>586</v>
      </c>
      <c r="H454" s="23">
        <v>0</v>
      </c>
      <c r="I454" s="23">
        <v>1354</v>
      </c>
      <c r="J454" s="23">
        <v>0</v>
      </c>
      <c r="K454" s="23">
        <v>0</v>
      </c>
      <c r="L454" s="32" t="s">
        <v>573</v>
      </c>
    </row>
    <row r="455" spans="1:12" x14ac:dyDescent="0.2">
      <c r="A455" s="69">
        <v>45836</v>
      </c>
      <c r="B455" s="23">
        <v>3561</v>
      </c>
      <c r="C455" s="23">
        <v>1361</v>
      </c>
      <c r="D455" s="23">
        <v>4921</v>
      </c>
      <c r="E455" s="23">
        <v>4629</v>
      </c>
      <c r="F455" s="23">
        <v>300</v>
      </c>
      <c r="G455" s="23">
        <v>593</v>
      </c>
      <c r="H455" s="23">
        <v>0</v>
      </c>
      <c r="I455" s="23">
        <v>1361</v>
      </c>
      <c r="J455" s="23">
        <v>0</v>
      </c>
      <c r="K455" s="23">
        <v>0</v>
      </c>
      <c r="L455" s="32" t="s">
        <v>574</v>
      </c>
    </row>
    <row r="456" spans="1:12" x14ac:dyDescent="0.2">
      <c r="A456" s="69">
        <v>45837</v>
      </c>
      <c r="B456" s="23">
        <v>3561</v>
      </c>
      <c r="C456" s="23">
        <v>1397</v>
      </c>
      <c r="D456" s="23">
        <v>4957</v>
      </c>
      <c r="E456" s="23">
        <v>4629</v>
      </c>
      <c r="F456" s="23">
        <v>300</v>
      </c>
      <c r="G456" s="23">
        <v>629</v>
      </c>
      <c r="H456" s="23">
        <v>0</v>
      </c>
      <c r="I456" s="23">
        <v>1397</v>
      </c>
      <c r="J456" s="23">
        <v>0</v>
      </c>
      <c r="K456" s="23">
        <v>0</v>
      </c>
      <c r="L456" s="32" t="s">
        <v>575</v>
      </c>
    </row>
    <row r="457" spans="1:12" x14ac:dyDescent="0.2">
      <c r="A457" s="69">
        <v>45838</v>
      </c>
      <c r="B457" s="23">
        <v>3561</v>
      </c>
      <c r="C457" s="23">
        <v>1388</v>
      </c>
      <c r="D457" s="23">
        <v>4949</v>
      </c>
      <c r="E457" s="23">
        <v>4629</v>
      </c>
      <c r="F457" s="23">
        <v>300</v>
      </c>
      <c r="G457" s="23">
        <v>620</v>
      </c>
      <c r="H457" s="23">
        <v>0</v>
      </c>
      <c r="I457" s="23">
        <v>1388</v>
      </c>
      <c r="J457" s="23">
        <v>0</v>
      </c>
      <c r="K457" s="23">
        <v>0</v>
      </c>
      <c r="L457" s="32" t="s">
        <v>576</v>
      </c>
    </row>
    <row r="458" spans="1:12" x14ac:dyDescent="0.2">
      <c r="A458" s="69">
        <v>45839</v>
      </c>
      <c r="B458" s="23">
        <v>3561</v>
      </c>
      <c r="C458" s="23">
        <v>1343</v>
      </c>
      <c r="D458" s="23">
        <v>4904</v>
      </c>
      <c r="E458" s="23">
        <v>4629</v>
      </c>
      <c r="F458" s="23">
        <v>300</v>
      </c>
      <c r="G458" s="23">
        <v>575</v>
      </c>
      <c r="H458" s="23">
        <v>0</v>
      </c>
      <c r="I458" s="23">
        <v>1343</v>
      </c>
      <c r="J458" s="23">
        <v>0</v>
      </c>
      <c r="K458" s="23">
        <v>0</v>
      </c>
      <c r="L458" s="32" t="s">
        <v>577</v>
      </c>
    </row>
    <row r="459" spans="1:12" x14ac:dyDescent="0.2">
      <c r="A459" s="69">
        <v>45840</v>
      </c>
      <c r="B459" s="23">
        <v>3561</v>
      </c>
      <c r="C459" s="23">
        <v>1436</v>
      </c>
      <c r="D459" s="23">
        <v>4997</v>
      </c>
      <c r="E459" s="23">
        <v>4629</v>
      </c>
      <c r="F459" s="23">
        <v>300</v>
      </c>
      <c r="G459" s="23">
        <v>668</v>
      </c>
      <c r="H459" s="23">
        <v>0</v>
      </c>
      <c r="I459" s="23">
        <v>1436</v>
      </c>
      <c r="J459" s="23">
        <v>0</v>
      </c>
      <c r="K459" s="23">
        <v>0</v>
      </c>
      <c r="L459" s="32" t="s">
        <v>578</v>
      </c>
    </row>
    <row r="460" spans="1:12" x14ac:dyDescent="0.2">
      <c r="A460" s="69">
        <v>45841</v>
      </c>
      <c r="B460" s="23">
        <v>3561</v>
      </c>
      <c r="C460" s="23">
        <v>1448</v>
      </c>
      <c r="D460" s="23">
        <v>5008</v>
      </c>
      <c r="E460" s="23">
        <v>4629</v>
      </c>
      <c r="F460" s="23">
        <v>300</v>
      </c>
      <c r="G460" s="23">
        <v>679</v>
      </c>
      <c r="H460" s="23">
        <v>0</v>
      </c>
      <c r="I460" s="23">
        <v>1448</v>
      </c>
      <c r="J460" s="23">
        <v>0</v>
      </c>
      <c r="K460" s="23">
        <v>0</v>
      </c>
      <c r="L460" s="32" t="s">
        <v>579</v>
      </c>
    </row>
    <row r="461" spans="1:12" x14ac:dyDescent="0.2">
      <c r="A461" s="69">
        <v>45842</v>
      </c>
      <c r="B461" s="23">
        <v>3561</v>
      </c>
      <c r="C461" s="23">
        <v>1401</v>
      </c>
      <c r="D461" s="23">
        <v>4962</v>
      </c>
      <c r="E461" s="23">
        <v>4629</v>
      </c>
      <c r="F461" s="23">
        <v>300</v>
      </c>
      <c r="G461" s="23">
        <v>633</v>
      </c>
      <c r="H461" s="23">
        <v>0</v>
      </c>
      <c r="I461" s="23">
        <v>1401</v>
      </c>
      <c r="J461" s="23">
        <v>0</v>
      </c>
      <c r="K461" s="23">
        <v>0</v>
      </c>
      <c r="L461" s="32" t="s">
        <v>580</v>
      </c>
    </row>
    <row r="462" spans="1:12" x14ac:dyDescent="0.2">
      <c r="A462" s="69">
        <v>45843</v>
      </c>
      <c r="B462" s="23">
        <v>3561</v>
      </c>
      <c r="C462" s="23">
        <v>1406</v>
      </c>
      <c r="D462" s="23">
        <v>4967</v>
      </c>
      <c r="E462" s="23">
        <v>4629</v>
      </c>
      <c r="F462" s="23">
        <v>300</v>
      </c>
      <c r="G462" s="23">
        <v>638</v>
      </c>
      <c r="H462" s="23">
        <v>0</v>
      </c>
      <c r="I462" s="23">
        <v>1406</v>
      </c>
      <c r="J462" s="23">
        <v>0</v>
      </c>
      <c r="K462" s="23">
        <v>0</v>
      </c>
      <c r="L462" s="32" t="s">
        <v>581</v>
      </c>
    </row>
    <row r="463" spans="1:12" x14ac:dyDescent="0.2">
      <c r="A463" s="69">
        <v>45844</v>
      </c>
      <c r="B463" s="23">
        <v>3561</v>
      </c>
      <c r="C463" s="23">
        <v>1436</v>
      </c>
      <c r="D463" s="23">
        <v>4997</v>
      </c>
      <c r="E463" s="23">
        <v>4629</v>
      </c>
      <c r="F463" s="23">
        <v>300</v>
      </c>
      <c r="G463" s="23">
        <v>668</v>
      </c>
      <c r="H463" s="23">
        <v>0</v>
      </c>
      <c r="I463" s="23">
        <v>1436</v>
      </c>
      <c r="J463" s="23">
        <v>0</v>
      </c>
      <c r="K463" s="23">
        <v>0</v>
      </c>
      <c r="L463" s="32" t="s">
        <v>578</v>
      </c>
    </row>
    <row r="464" spans="1:12" x14ac:dyDescent="0.2">
      <c r="A464" s="69">
        <v>45845</v>
      </c>
      <c r="B464" s="23">
        <v>3561</v>
      </c>
      <c r="C464" s="23">
        <v>1420</v>
      </c>
      <c r="D464" s="23">
        <v>4981</v>
      </c>
      <c r="E464" s="23">
        <v>4629</v>
      </c>
      <c r="F464" s="23">
        <v>300</v>
      </c>
      <c r="G464" s="23">
        <v>652</v>
      </c>
      <c r="H464" s="23">
        <v>0</v>
      </c>
      <c r="I464" s="23">
        <v>1420</v>
      </c>
      <c r="J464" s="23">
        <v>0</v>
      </c>
      <c r="K464" s="23">
        <v>0</v>
      </c>
      <c r="L464" s="32" t="s">
        <v>582</v>
      </c>
    </row>
    <row r="465" spans="1:12" x14ac:dyDescent="0.2">
      <c r="A465" s="69">
        <v>45846</v>
      </c>
      <c r="B465" s="23">
        <v>3561</v>
      </c>
      <c r="C465" s="23">
        <v>1461</v>
      </c>
      <c r="D465" s="23">
        <v>5022</v>
      </c>
      <c r="E465" s="23">
        <v>4629</v>
      </c>
      <c r="F465" s="23">
        <v>300</v>
      </c>
      <c r="G465" s="23">
        <v>693</v>
      </c>
      <c r="H465" s="23">
        <v>0</v>
      </c>
      <c r="I465" s="23">
        <v>1461</v>
      </c>
      <c r="J465" s="23">
        <v>0</v>
      </c>
      <c r="K465" s="23">
        <v>0</v>
      </c>
      <c r="L465" s="32" t="s">
        <v>583</v>
      </c>
    </row>
    <row r="466" spans="1:12" x14ac:dyDescent="0.2">
      <c r="A466" s="69">
        <v>45847</v>
      </c>
      <c r="B466" s="23">
        <v>3561</v>
      </c>
      <c r="C466" s="23">
        <v>1547</v>
      </c>
      <c r="D466" s="23">
        <v>5108</v>
      </c>
      <c r="E466" s="23">
        <v>4629</v>
      </c>
      <c r="F466" s="23">
        <v>300</v>
      </c>
      <c r="G466" s="23">
        <v>779</v>
      </c>
      <c r="H466" s="23">
        <v>0</v>
      </c>
      <c r="I466" s="23">
        <v>1547</v>
      </c>
      <c r="J466" s="23">
        <v>0</v>
      </c>
      <c r="K466" s="23">
        <v>0</v>
      </c>
      <c r="L466" s="32" t="s">
        <v>584</v>
      </c>
    </row>
    <row r="467" spans="1:12" x14ac:dyDescent="0.2">
      <c r="A467" s="69">
        <v>45848</v>
      </c>
      <c r="B467" s="23">
        <v>3561</v>
      </c>
      <c r="C467" s="23">
        <v>1649</v>
      </c>
      <c r="D467" s="23">
        <v>5210</v>
      </c>
      <c r="E467" s="23">
        <v>4629</v>
      </c>
      <c r="F467" s="23">
        <v>300</v>
      </c>
      <c r="G467" s="23">
        <v>881</v>
      </c>
      <c r="H467" s="23">
        <v>0</v>
      </c>
      <c r="I467" s="23">
        <v>1649</v>
      </c>
      <c r="J467" s="23">
        <v>0</v>
      </c>
      <c r="K467" s="23">
        <v>0</v>
      </c>
      <c r="L467" s="32" t="s">
        <v>585</v>
      </c>
    </row>
    <row r="468" spans="1:12" x14ac:dyDescent="0.2">
      <c r="A468" s="69">
        <v>45849</v>
      </c>
      <c r="B468" s="23">
        <v>3561</v>
      </c>
      <c r="C468" s="23">
        <v>1653</v>
      </c>
      <c r="D468" s="23">
        <v>5213</v>
      </c>
      <c r="E468" s="23">
        <v>4629</v>
      </c>
      <c r="F468" s="23">
        <v>300</v>
      </c>
      <c r="G468" s="23">
        <v>884</v>
      </c>
      <c r="H468" s="23">
        <v>0</v>
      </c>
      <c r="I468" s="23">
        <v>1653</v>
      </c>
      <c r="J468" s="23">
        <v>0</v>
      </c>
      <c r="K468" s="23">
        <v>0</v>
      </c>
      <c r="L468" s="32" t="s">
        <v>586</v>
      </c>
    </row>
    <row r="469" spans="1:12" x14ac:dyDescent="0.2">
      <c r="A469" s="69">
        <v>45850</v>
      </c>
      <c r="B469" s="23">
        <v>3561</v>
      </c>
      <c r="C469" s="23">
        <v>1644</v>
      </c>
      <c r="D469" s="23">
        <v>5205</v>
      </c>
      <c r="E469" s="23">
        <v>4629</v>
      </c>
      <c r="F469" s="23">
        <v>300</v>
      </c>
      <c r="G469" s="23">
        <v>876</v>
      </c>
      <c r="H469" s="23">
        <v>0</v>
      </c>
      <c r="I469" s="23">
        <v>1644</v>
      </c>
      <c r="J469" s="23">
        <v>0</v>
      </c>
      <c r="K469" s="23">
        <v>0</v>
      </c>
      <c r="L469" s="32" t="s">
        <v>587</v>
      </c>
    </row>
    <row r="470" spans="1:12" x14ac:dyDescent="0.2">
      <c r="A470" s="69">
        <v>45851</v>
      </c>
      <c r="B470" s="23">
        <v>3561</v>
      </c>
      <c r="C470" s="23">
        <v>1660</v>
      </c>
      <c r="D470" s="23">
        <v>5221</v>
      </c>
      <c r="E470" s="23">
        <v>4629</v>
      </c>
      <c r="F470" s="23">
        <v>300</v>
      </c>
      <c r="G470" s="23">
        <v>892</v>
      </c>
      <c r="H470" s="23">
        <v>0</v>
      </c>
      <c r="I470" s="23">
        <v>1660</v>
      </c>
      <c r="J470" s="23">
        <v>0</v>
      </c>
      <c r="K470" s="23">
        <v>0</v>
      </c>
      <c r="L470" s="32" t="s">
        <v>588</v>
      </c>
    </row>
    <row r="471" spans="1:12" x14ac:dyDescent="0.2">
      <c r="A471" s="69">
        <v>45852</v>
      </c>
      <c r="B471" s="23">
        <v>3561</v>
      </c>
      <c r="C471" s="23">
        <v>1683</v>
      </c>
      <c r="D471" s="23">
        <v>5244</v>
      </c>
      <c r="E471" s="23">
        <v>4629</v>
      </c>
      <c r="F471" s="23">
        <v>300</v>
      </c>
      <c r="G471" s="23">
        <v>915</v>
      </c>
      <c r="H471" s="23">
        <v>0</v>
      </c>
      <c r="I471" s="23">
        <v>1683</v>
      </c>
      <c r="J471" s="23">
        <v>0</v>
      </c>
      <c r="K471" s="23">
        <v>0</v>
      </c>
      <c r="L471" s="32" t="s">
        <v>589</v>
      </c>
    </row>
    <row r="472" spans="1:12" x14ac:dyDescent="0.2">
      <c r="A472" s="69">
        <v>45853</v>
      </c>
      <c r="B472" s="23">
        <v>3561</v>
      </c>
      <c r="C472" s="23">
        <v>1753</v>
      </c>
      <c r="D472" s="23">
        <v>5314</v>
      </c>
      <c r="E472" s="23">
        <v>4629</v>
      </c>
      <c r="F472" s="23">
        <v>300</v>
      </c>
      <c r="G472" s="23">
        <v>985</v>
      </c>
      <c r="H472" s="23">
        <v>0</v>
      </c>
      <c r="I472" s="23">
        <v>1753</v>
      </c>
      <c r="J472" s="23">
        <v>0</v>
      </c>
      <c r="K472" s="23">
        <v>0</v>
      </c>
      <c r="L472" s="32" t="s">
        <v>590</v>
      </c>
    </row>
    <row r="473" spans="1:12" x14ac:dyDescent="0.2">
      <c r="A473" s="69">
        <v>45854</v>
      </c>
      <c r="B473" s="23">
        <v>3561</v>
      </c>
      <c r="C473" s="23">
        <v>1883</v>
      </c>
      <c r="D473" s="23">
        <v>5444</v>
      </c>
      <c r="E473" s="23">
        <v>4629</v>
      </c>
      <c r="F473" s="23">
        <v>300</v>
      </c>
      <c r="G473" s="23">
        <v>1115</v>
      </c>
      <c r="H473" s="23">
        <v>0</v>
      </c>
      <c r="I473" s="23">
        <v>1883</v>
      </c>
      <c r="J473" s="23">
        <v>0</v>
      </c>
      <c r="K473" s="23">
        <v>0</v>
      </c>
      <c r="L473" s="32" t="s">
        <v>591</v>
      </c>
    </row>
    <row r="474" spans="1:12" x14ac:dyDescent="0.2">
      <c r="A474" s="69">
        <v>45855</v>
      </c>
      <c r="B474" s="23">
        <v>3561</v>
      </c>
      <c r="C474" s="23">
        <v>1942</v>
      </c>
      <c r="D474" s="23">
        <v>5503</v>
      </c>
      <c r="E474" s="23">
        <v>4629</v>
      </c>
      <c r="F474" s="23">
        <v>300</v>
      </c>
      <c r="G474" s="23">
        <v>1174</v>
      </c>
      <c r="H474" s="23">
        <v>0</v>
      </c>
      <c r="I474" s="23">
        <v>1942</v>
      </c>
      <c r="J474" s="23">
        <v>0</v>
      </c>
      <c r="K474" s="23">
        <v>0</v>
      </c>
      <c r="L474" s="32" t="s">
        <v>592</v>
      </c>
    </row>
    <row r="475" spans="1:12" x14ac:dyDescent="0.2">
      <c r="A475" s="69">
        <v>45856</v>
      </c>
      <c r="B475" s="23">
        <v>3561</v>
      </c>
      <c r="C475" s="23">
        <v>1981</v>
      </c>
      <c r="D475" s="23">
        <v>5542</v>
      </c>
      <c r="E475" s="23">
        <v>4629</v>
      </c>
      <c r="F475" s="23">
        <v>300</v>
      </c>
      <c r="G475" s="23">
        <v>1213</v>
      </c>
      <c r="H475" s="23">
        <v>0</v>
      </c>
      <c r="I475" s="23">
        <v>1981</v>
      </c>
      <c r="J475" s="23">
        <v>0</v>
      </c>
      <c r="K475" s="23">
        <v>0</v>
      </c>
      <c r="L475" s="32" t="s">
        <v>593</v>
      </c>
    </row>
    <row r="476" spans="1:12" x14ac:dyDescent="0.2">
      <c r="A476" s="69">
        <v>45857</v>
      </c>
      <c r="B476" s="23">
        <v>3561</v>
      </c>
      <c r="C476" s="23">
        <v>2007</v>
      </c>
      <c r="D476" s="23">
        <v>5567</v>
      </c>
      <c r="E476" s="23">
        <v>4629</v>
      </c>
      <c r="F476" s="23">
        <v>300</v>
      </c>
      <c r="G476" s="23">
        <v>1238</v>
      </c>
      <c r="H476" s="23">
        <v>0</v>
      </c>
      <c r="I476" s="23">
        <v>2007</v>
      </c>
      <c r="J476" s="23">
        <v>0</v>
      </c>
      <c r="K476" s="23">
        <v>0</v>
      </c>
      <c r="L476" s="32" t="s">
        <v>594</v>
      </c>
    </row>
    <row r="477" spans="1:12" x14ac:dyDescent="0.2">
      <c r="A477" s="69">
        <v>45858</v>
      </c>
      <c r="B477" s="23">
        <v>3561</v>
      </c>
      <c r="C477" s="23">
        <v>2099</v>
      </c>
      <c r="D477" s="23">
        <v>5659</v>
      </c>
      <c r="E477" s="23">
        <v>4629</v>
      </c>
      <c r="F477" s="23">
        <v>300</v>
      </c>
      <c r="G477" s="23">
        <v>1330</v>
      </c>
      <c r="H477" s="23">
        <v>0</v>
      </c>
      <c r="I477" s="23">
        <v>2099</v>
      </c>
      <c r="J477" s="23">
        <v>0</v>
      </c>
      <c r="K477" s="23">
        <v>0</v>
      </c>
      <c r="L477" s="32" t="s">
        <v>595</v>
      </c>
    </row>
    <row r="478" spans="1:12" x14ac:dyDescent="0.2">
      <c r="A478" s="69">
        <v>45859</v>
      </c>
      <c r="B478" s="23">
        <v>3561</v>
      </c>
      <c r="C478" s="23">
        <v>2102</v>
      </c>
      <c r="D478" s="23">
        <v>5663</v>
      </c>
      <c r="E478" s="23">
        <v>4629</v>
      </c>
      <c r="F478" s="23">
        <v>300</v>
      </c>
      <c r="G478" s="23">
        <v>1334</v>
      </c>
      <c r="H478" s="23">
        <v>0</v>
      </c>
      <c r="I478" s="23">
        <v>2102</v>
      </c>
      <c r="J478" s="23">
        <v>0</v>
      </c>
      <c r="K478" s="23">
        <v>0</v>
      </c>
      <c r="L478" s="32" t="s">
        <v>596</v>
      </c>
    </row>
    <row r="479" spans="1:12" x14ac:dyDescent="0.2">
      <c r="A479" s="69">
        <v>45860</v>
      </c>
      <c r="B479" s="23">
        <v>3561</v>
      </c>
      <c r="C479" s="23">
        <v>2093</v>
      </c>
      <c r="D479" s="23">
        <v>5654</v>
      </c>
      <c r="E479" s="23">
        <v>4629</v>
      </c>
      <c r="F479" s="23">
        <v>300</v>
      </c>
      <c r="G479" s="23">
        <v>1325</v>
      </c>
      <c r="H479" s="23">
        <v>0</v>
      </c>
      <c r="I479" s="23">
        <v>2093</v>
      </c>
      <c r="J479" s="23">
        <v>0</v>
      </c>
      <c r="K479" s="23">
        <v>0</v>
      </c>
      <c r="L479" s="32" t="s">
        <v>597</v>
      </c>
    </row>
    <row r="480" spans="1:12" x14ac:dyDescent="0.2">
      <c r="A480" s="69">
        <v>45861</v>
      </c>
      <c r="B480" s="23">
        <v>3561</v>
      </c>
      <c r="C480" s="23">
        <v>2027</v>
      </c>
      <c r="D480" s="23">
        <v>5588</v>
      </c>
      <c r="E480" s="23">
        <v>4629</v>
      </c>
      <c r="F480" s="23">
        <v>300</v>
      </c>
      <c r="G480" s="23">
        <v>1259</v>
      </c>
      <c r="H480" s="23">
        <v>0</v>
      </c>
      <c r="I480" s="23">
        <v>2027</v>
      </c>
      <c r="J480" s="23">
        <v>0</v>
      </c>
      <c r="K480" s="23">
        <v>0</v>
      </c>
      <c r="L480" s="32" t="s">
        <v>598</v>
      </c>
    </row>
    <row r="481" spans="1:12" x14ac:dyDescent="0.2">
      <c r="A481" s="69">
        <v>45862</v>
      </c>
      <c r="B481" s="23">
        <v>3561</v>
      </c>
      <c r="C481" s="23">
        <v>2071</v>
      </c>
      <c r="D481" s="23">
        <v>5632</v>
      </c>
      <c r="E481" s="23">
        <v>4629</v>
      </c>
      <c r="F481" s="23">
        <v>300</v>
      </c>
      <c r="G481" s="23">
        <v>1303</v>
      </c>
      <c r="H481" s="23">
        <v>0</v>
      </c>
      <c r="I481" s="23">
        <v>2071</v>
      </c>
      <c r="J481" s="23">
        <v>0</v>
      </c>
      <c r="K481" s="23">
        <v>0</v>
      </c>
      <c r="L481" s="32" t="s">
        <v>599</v>
      </c>
    </row>
    <row r="482" spans="1:12" x14ac:dyDescent="0.2">
      <c r="A482" s="69">
        <v>45863</v>
      </c>
      <c r="B482" s="23">
        <v>3561</v>
      </c>
      <c r="C482" s="23">
        <v>2081</v>
      </c>
      <c r="D482" s="23">
        <v>5642</v>
      </c>
      <c r="E482" s="23">
        <v>4629</v>
      </c>
      <c r="F482" s="23">
        <v>300</v>
      </c>
      <c r="G482" s="23">
        <v>1313</v>
      </c>
      <c r="H482" s="23">
        <v>0</v>
      </c>
      <c r="I482" s="23">
        <v>2081</v>
      </c>
      <c r="J482" s="23">
        <v>0</v>
      </c>
      <c r="K482" s="23">
        <v>0</v>
      </c>
      <c r="L482" s="32" t="s">
        <v>600</v>
      </c>
    </row>
    <row r="483" spans="1:12" x14ac:dyDescent="0.2">
      <c r="A483" s="69">
        <v>45864</v>
      </c>
      <c r="B483" s="23">
        <v>3561</v>
      </c>
      <c r="C483" s="23">
        <v>2090</v>
      </c>
      <c r="D483" s="23">
        <v>5651</v>
      </c>
      <c r="E483" s="23">
        <v>4629</v>
      </c>
      <c r="F483" s="23">
        <v>300</v>
      </c>
      <c r="G483" s="23">
        <v>1322</v>
      </c>
      <c r="H483" s="23">
        <v>0</v>
      </c>
      <c r="I483" s="23">
        <v>2090</v>
      </c>
      <c r="J483" s="23">
        <v>0</v>
      </c>
      <c r="K483" s="23">
        <v>0</v>
      </c>
      <c r="L483" s="32" t="s">
        <v>601</v>
      </c>
    </row>
    <row r="484" spans="1:12" x14ac:dyDescent="0.2">
      <c r="A484" s="69">
        <v>45865</v>
      </c>
      <c r="B484" s="23">
        <v>3561</v>
      </c>
      <c r="C484" s="23">
        <v>2163</v>
      </c>
      <c r="D484" s="23">
        <v>5724</v>
      </c>
      <c r="E484" s="23">
        <v>4629</v>
      </c>
      <c r="F484" s="23">
        <v>300</v>
      </c>
      <c r="G484" s="23">
        <v>1395</v>
      </c>
      <c r="H484" s="23">
        <v>0</v>
      </c>
      <c r="I484" s="23">
        <v>2163</v>
      </c>
      <c r="J484" s="23">
        <v>0</v>
      </c>
      <c r="K484" s="23">
        <v>0</v>
      </c>
      <c r="L484" s="32" t="s">
        <v>602</v>
      </c>
    </row>
    <row r="485" spans="1:12" x14ac:dyDescent="0.2">
      <c r="A485" s="69">
        <v>45866</v>
      </c>
      <c r="B485" s="23">
        <v>3561</v>
      </c>
      <c r="C485" s="23">
        <v>2122</v>
      </c>
      <c r="D485" s="23">
        <v>5683</v>
      </c>
      <c r="E485" s="23">
        <v>4629</v>
      </c>
      <c r="F485" s="23">
        <v>300</v>
      </c>
      <c r="G485" s="23">
        <v>1354</v>
      </c>
      <c r="H485" s="23">
        <v>0</v>
      </c>
      <c r="I485" s="23">
        <v>2122</v>
      </c>
      <c r="J485" s="23">
        <v>0</v>
      </c>
      <c r="K485" s="23">
        <v>0</v>
      </c>
      <c r="L485" s="32" t="s">
        <v>603</v>
      </c>
    </row>
    <row r="486" spans="1:12" x14ac:dyDescent="0.2">
      <c r="A486" s="69">
        <v>45867</v>
      </c>
      <c r="B486" s="23">
        <v>3561</v>
      </c>
      <c r="C486" s="23">
        <v>2119</v>
      </c>
      <c r="D486" s="23">
        <v>5680</v>
      </c>
      <c r="E486" s="23">
        <v>4629</v>
      </c>
      <c r="F486" s="23">
        <v>300</v>
      </c>
      <c r="G486" s="23">
        <v>1351</v>
      </c>
      <c r="H486" s="23">
        <v>0</v>
      </c>
      <c r="I486" s="23">
        <v>2119</v>
      </c>
      <c r="J486" s="23">
        <v>0</v>
      </c>
      <c r="K486" s="23">
        <v>0</v>
      </c>
      <c r="L486" s="32" t="s">
        <v>604</v>
      </c>
    </row>
    <row r="487" spans="1:12" x14ac:dyDescent="0.2">
      <c r="A487" s="69">
        <v>45868</v>
      </c>
      <c r="B487" s="23">
        <v>3561</v>
      </c>
      <c r="C487" s="23">
        <v>2128</v>
      </c>
      <c r="D487" s="23">
        <v>5689</v>
      </c>
      <c r="E487" s="23">
        <v>4629</v>
      </c>
      <c r="F487" s="23">
        <v>300</v>
      </c>
      <c r="G487" s="23">
        <v>1360</v>
      </c>
      <c r="H487" s="23">
        <v>0</v>
      </c>
      <c r="I487" s="23">
        <v>2128</v>
      </c>
      <c r="J487" s="23">
        <v>0</v>
      </c>
      <c r="K487" s="23">
        <v>0</v>
      </c>
      <c r="L487" s="32" t="s">
        <v>605</v>
      </c>
    </row>
    <row r="488" spans="1:12" x14ac:dyDescent="0.2">
      <c r="A488" s="69">
        <v>45869</v>
      </c>
      <c r="B488" s="23">
        <v>3561</v>
      </c>
      <c r="C488" s="23">
        <v>2066</v>
      </c>
      <c r="D488" s="23">
        <v>5627</v>
      </c>
      <c r="E488" s="23">
        <v>4629</v>
      </c>
      <c r="F488" s="23">
        <v>300</v>
      </c>
      <c r="G488" s="23">
        <v>1298</v>
      </c>
      <c r="H488" s="23">
        <v>0</v>
      </c>
      <c r="I488" s="23">
        <v>2066</v>
      </c>
      <c r="J488" s="23">
        <v>0</v>
      </c>
      <c r="K488" s="23">
        <v>0</v>
      </c>
      <c r="L488" s="32" t="s">
        <v>606</v>
      </c>
    </row>
    <row r="489" spans="1:12" x14ac:dyDescent="0.2">
      <c r="A489" s="69">
        <v>45870</v>
      </c>
      <c r="B489" s="23">
        <v>1302</v>
      </c>
      <c r="C489" s="23">
        <v>3818</v>
      </c>
      <c r="D489" s="23">
        <v>5120</v>
      </c>
      <c r="E489" s="23">
        <v>4629</v>
      </c>
      <c r="F489" s="23">
        <v>300</v>
      </c>
      <c r="G489" s="23">
        <v>791</v>
      </c>
      <c r="H489" s="23">
        <v>0</v>
      </c>
      <c r="I489" s="23">
        <v>3470</v>
      </c>
      <c r="J489" s="23">
        <v>329</v>
      </c>
      <c r="K489" s="23">
        <v>21</v>
      </c>
      <c r="L489" s="32" t="s">
        <v>610</v>
      </c>
    </row>
    <row r="490" spans="1:12" x14ac:dyDescent="0.2">
      <c r="A490" s="69">
        <v>45871</v>
      </c>
      <c r="B490" s="23">
        <v>1302</v>
      </c>
      <c r="C490" s="23">
        <v>3716</v>
      </c>
      <c r="D490" s="23">
        <v>5017</v>
      </c>
      <c r="E490" s="23">
        <v>4629</v>
      </c>
      <c r="F490" s="23">
        <v>300</v>
      </c>
      <c r="G490" s="23">
        <v>689</v>
      </c>
      <c r="H490" s="23">
        <v>0</v>
      </c>
      <c r="I490" s="23">
        <v>3377</v>
      </c>
      <c r="J490" s="23">
        <v>319</v>
      </c>
      <c r="K490" s="23">
        <v>21</v>
      </c>
      <c r="L490" s="32" t="s">
        <v>611</v>
      </c>
    </row>
    <row r="491" spans="1:12" x14ac:dyDescent="0.2">
      <c r="A491" s="69">
        <v>45872</v>
      </c>
      <c r="B491" s="23">
        <v>1302</v>
      </c>
      <c r="C491" s="23">
        <v>3829</v>
      </c>
      <c r="D491" s="23">
        <v>5130</v>
      </c>
      <c r="E491" s="23">
        <v>4629</v>
      </c>
      <c r="F491" s="23">
        <v>300</v>
      </c>
      <c r="G491" s="23">
        <v>802</v>
      </c>
      <c r="H491" s="23">
        <v>0</v>
      </c>
      <c r="I491" s="23">
        <v>3473</v>
      </c>
      <c r="J491" s="23">
        <v>334</v>
      </c>
      <c r="K491" s="23">
        <v>21</v>
      </c>
      <c r="L491" s="32" t="s">
        <v>612</v>
      </c>
    </row>
    <row r="492" spans="1:12" x14ac:dyDescent="0.2">
      <c r="A492" s="69">
        <v>45873</v>
      </c>
      <c r="B492" s="23">
        <v>1302</v>
      </c>
      <c r="C492" s="23">
        <v>4026</v>
      </c>
      <c r="D492" s="23">
        <v>5327</v>
      </c>
      <c r="E492" s="23">
        <v>4629</v>
      </c>
      <c r="F492" s="23">
        <v>300</v>
      </c>
      <c r="G492" s="23">
        <v>999</v>
      </c>
      <c r="H492" s="23">
        <v>0</v>
      </c>
      <c r="I492" s="23">
        <v>3658</v>
      </c>
      <c r="J492" s="23">
        <v>346</v>
      </c>
      <c r="K492" s="23">
        <v>23</v>
      </c>
      <c r="L492" s="32" t="s">
        <v>613</v>
      </c>
    </row>
    <row r="493" spans="1:12" x14ac:dyDescent="0.2">
      <c r="A493" s="69">
        <v>45874</v>
      </c>
      <c r="B493" s="23">
        <v>1302</v>
      </c>
      <c r="C493" s="23">
        <v>3902</v>
      </c>
      <c r="D493" s="23">
        <v>5203</v>
      </c>
      <c r="E493" s="23">
        <v>4629</v>
      </c>
      <c r="F493" s="23">
        <v>300</v>
      </c>
      <c r="G493" s="23">
        <v>875</v>
      </c>
      <c r="H493" s="23">
        <v>0</v>
      </c>
      <c r="I493" s="23">
        <v>3549</v>
      </c>
      <c r="J493" s="23">
        <v>333</v>
      </c>
      <c r="K493" s="23">
        <v>22</v>
      </c>
      <c r="L493" s="32" t="s">
        <v>614</v>
      </c>
    </row>
    <row r="494" spans="1:12" x14ac:dyDescent="0.2">
      <c r="A494" s="69">
        <v>45875</v>
      </c>
      <c r="B494" s="23">
        <v>1302</v>
      </c>
      <c r="C494" s="23">
        <v>3982</v>
      </c>
      <c r="D494" s="23">
        <v>5283</v>
      </c>
      <c r="E494" s="23">
        <v>4629</v>
      </c>
      <c r="F494" s="23">
        <v>300</v>
      </c>
      <c r="G494" s="23">
        <v>955</v>
      </c>
      <c r="H494" s="23">
        <v>0</v>
      </c>
      <c r="I494" s="23">
        <v>3622</v>
      </c>
      <c r="J494" s="23">
        <v>340</v>
      </c>
      <c r="K494" s="23">
        <v>22</v>
      </c>
      <c r="L494" s="32" t="s">
        <v>615</v>
      </c>
    </row>
    <row r="495" spans="1:12" x14ac:dyDescent="0.2">
      <c r="A495" s="69">
        <v>45876</v>
      </c>
      <c r="B495" s="23">
        <v>1302</v>
      </c>
      <c r="C495" s="23">
        <v>4204</v>
      </c>
      <c r="D495" s="23">
        <v>5505</v>
      </c>
      <c r="E495" s="23">
        <v>4629</v>
      </c>
      <c r="F495" s="23">
        <v>300</v>
      </c>
      <c r="G495" s="23">
        <v>1177</v>
      </c>
      <c r="H495" s="23">
        <v>0</v>
      </c>
      <c r="I495" s="23">
        <v>3818</v>
      </c>
      <c r="J495" s="23">
        <v>361</v>
      </c>
      <c r="K495" s="23">
        <v>24</v>
      </c>
      <c r="L495" s="32" t="s">
        <v>616</v>
      </c>
    </row>
    <row r="496" spans="1:12" x14ac:dyDescent="0.2">
      <c r="A496" s="69">
        <v>45877</v>
      </c>
      <c r="B496" s="23">
        <v>1302</v>
      </c>
      <c r="C496" s="23">
        <v>4280</v>
      </c>
      <c r="D496" s="23">
        <v>5582</v>
      </c>
      <c r="E496" s="23">
        <v>4629</v>
      </c>
      <c r="F496" s="23">
        <v>300</v>
      </c>
      <c r="G496" s="23">
        <v>1253</v>
      </c>
      <c r="H496" s="23">
        <v>0</v>
      </c>
      <c r="I496" s="23">
        <v>3889</v>
      </c>
      <c r="J496" s="23">
        <v>367</v>
      </c>
      <c r="K496" s="23">
        <v>25</v>
      </c>
      <c r="L496" s="32" t="s">
        <v>617</v>
      </c>
    </row>
    <row r="497" spans="1:12" x14ac:dyDescent="0.2">
      <c r="A497" s="69">
        <v>45878</v>
      </c>
      <c r="B497" s="23">
        <v>1302</v>
      </c>
      <c r="C497" s="23">
        <v>4459</v>
      </c>
      <c r="D497" s="23">
        <v>5761</v>
      </c>
      <c r="E497" s="23">
        <v>4629</v>
      </c>
      <c r="F497" s="23">
        <v>300</v>
      </c>
      <c r="G497" s="23">
        <v>1432</v>
      </c>
      <c r="H497" s="23">
        <v>0</v>
      </c>
      <c r="I497" s="23">
        <v>4057</v>
      </c>
      <c r="J497" s="23">
        <v>376</v>
      </c>
      <c r="K497" s="23">
        <v>26</v>
      </c>
      <c r="L497" s="32" t="s">
        <v>618</v>
      </c>
    </row>
    <row r="498" spans="1:12" x14ac:dyDescent="0.2">
      <c r="A498" s="69">
        <v>45879</v>
      </c>
      <c r="B498" s="23">
        <v>1302</v>
      </c>
      <c r="C498" s="23">
        <v>4466</v>
      </c>
      <c r="D498" s="23">
        <v>5767</v>
      </c>
      <c r="E498" s="23">
        <v>4629</v>
      </c>
      <c r="F498" s="23">
        <v>300</v>
      </c>
      <c r="G498" s="23">
        <v>1439</v>
      </c>
      <c r="H498" s="23">
        <v>0</v>
      </c>
      <c r="I498" s="23">
        <v>4066</v>
      </c>
      <c r="J498" s="23">
        <v>373</v>
      </c>
      <c r="K498" s="23">
        <v>26</v>
      </c>
      <c r="L498" s="32" t="s">
        <v>619</v>
      </c>
    </row>
    <row r="499" spans="1:12" x14ac:dyDescent="0.2">
      <c r="A499" s="69">
        <v>45880</v>
      </c>
      <c r="B499" s="23">
        <v>1302</v>
      </c>
      <c r="C499" s="23">
        <v>4379</v>
      </c>
      <c r="D499" s="23">
        <v>5680</v>
      </c>
      <c r="E499" s="23">
        <v>4629</v>
      </c>
      <c r="F499" s="23">
        <v>300</v>
      </c>
      <c r="G499" s="23">
        <v>1352</v>
      </c>
      <c r="H499" s="23">
        <v>0</v>
      </c>
      <c r="I499" s="23">
        <v>3999</v>
      </c>
      <c r="J499" s="23">
        <v>356</v>
      </c>
      <c r="K499" s="23">
        <v>24</v>
      </c>
      <c r="L499" s="32" t="s">
        <v>620</v>
      </c>
    </row>
    <row r="500" spans="1:12" x14ac:dyDescent="0.2">
      <c r="A500" s="69">
        <v>45881</v>
      </c>
      <c r="B500" s="23">
        <v>1302</v>
      </c>
      <c r="C500" s="23">
        <v>4733</v>
      </c>
      <c r="D500" s="23">
        <v>6035</v>
      </c>
      <c r="E500" s="23">
        <v>4629</v>
      </c>
      <c r="F500" s="23">
        <v>300</v>
      </c>
      <c r="G500" s="23">
        <v>1707</v>
      </c>
      <c r="H500" s="23">
        <v>0</v>
      </c>
      <c r="I500" s="23">
        <v>4327</v>
      </c>
      <c r="J500" s="23">
        <v>380</v>
      </c>
      <c r="K500" s="23">
        <v>26</v>
      </c>
      <c r="L500" s="32" t="s">
        <v>621</v>
      </c>
    </row>
    <row r="501" spans="1:12" x14ac:dyDescent="0.2">
      <c r="A501" s="69">
        <v>45882</v>
      </c>
      <c r="B501" s="23">
        <v>1302</v>
      </c>
      <c r="C501" s="23">
        <v>4920</v>
      </c>
      <c r="D501" s="23">
        <v>6221</v>
      </c>
      <c r="E501" s="23">
        <v>4629</v>
      </c>
      <c r="F501" s="23">
        <v>300</v>
      </c>
      <c r="G501" s="23">
        <v>1893</v>
      </c>
      <c r="H501" s="23">
        <v>0</v>
      </c>
      <c r="I501" s="23">
        <v>4496</v>
      </c>
      <c r="J501" s="23">
        <v>397</v>
      </c>
      <c r="K501" s="23">
        <v>28</v>
      </c>
      <c r="L501" s="32" t="s">
        <v>622</v>
      </c>
    </row>
    <row r="502" spans="1:12" x14ac:dyDescent="0.2">
      <c r="A502" s="69">
        <v>45883</v>
      </c>
      <c r="B502" s="23">
        <v>1302</v>
      </c>
      <c r="C502" s="23">
        <v>4726</v>
      </c>
      <c r="D502" s="23">
        <v>6028</v>
      </c>
      <c r="E502" s="23">
        <v>4629</v>
      </c>
      <c r="F502" s="23">
        <v>300</v>
      </c>
      <c r="G502" s="23">
        <v>1699</v>
      </c>
      <c r="H502" s="23">
        <v>0</v>
      </c>
      <c r="I502" s="23">
        <v>4339</v>
      </c>
      <c r="J502" s="23">
        <v>363</v>
      </c>
      <c r="K502" s="23">
        <v>24</v>
      </c>
      <c r="L502" s="32" t="s">
        <v>623</v>
      </c>
    </row>
    <row r="503" spans="1:12" x14ac:dyDescent="0.2">
      <c r="A503" s="69">
        <v>45884</v>
      </c>
      <c r="B503" s="23">
        <v>1302</v>
      </c>
      <c r="C503" s="23">
        <v>4631</v>
      </c>
      <c r="D503" s="23">
        <v>5933</v>
      </c>
      <c r="E503" s="23">
        <v>4629</v>
      </c>
      <c r="F503" s="23">
        <v>300</v>
      </c>
      <c r="G503" s="23">
        <v>1604</v>
      </c>
      <c r="H503" s="23">
        <v>0</v>
      </c>
      <c r="I503" s="23">
        <v>4249</v>
      </c>
      <c r="J503" s="23">
        <v>357</v>
      </c>
      <c r="K503" s="23">
        <v>24</v>
      </c>
      <c r="L503" s="32" t="s">
        <v>624</v>
      </c>
    </row>
    <row r="504" spans="1:12" x14ac:dyDescent="0.2">
      <c r="A504" s="69">
        <v>45885</v>
      </c>
      <c r="B504" s="23">
        <v>1302</v>
      </c>
      <c r="C504" s="23">
        <v>4644</v>
      </c>
      <c r="D504" s="23">
        <v>5945</v>
      </c>
      <c r="E504" s="23">
        <v>4629</v>
      </c>
      <c r="F504" s="23">
        <v>300</v>
      </c>
      <c r="G504" s="23">
        <v>1617</v>
      </c>
      <c r="H504" s="23">
        <v>0</v>
      </c>
      <c r="I504" s="23">
        <v>4258</v>
      </c>
      <c r="J504" s="23">
        <v>363</v>
      </c>
      <c r="K504" s="23">
        <v>24</v>
      </c>
      <c r="L504" s="32" t="s">
        <v>625</v>
      </c>
    </row>
    <row r="505" spans="1:12" x14ac:dyDescent="0.2">
      <c r="A505" s="69">
        <v>45886</v>
      </c>
      <c r="B505" s="23">
        <v>1302</v>
      </c>
      <c r="C505" s="23">
        <v>4713</v>
      </c>
      <c r="D505" s="23">
        <v>6015</v>
      </c>
      <c r="E505" s="23">
        <v>4629</v>
      </c>
      <c r="F505" s="23">
        <v>300</v>
      </c>
      <c r="G505" s="23">
        <v>1686</v>
      </c>
      <c r="H505" s="23">
        <v>0</v>
      </c>
      <c r="I505" s="23">
        <v>4322</v>
      </c>
      <c r="J505" s="23">
        <v>367</v>
      </c>
      <c r="K505" s="23">
        <v>24</v>
      </c>
      <c r="L505" s="32" t="s">
        <v>626</v>
      </c>
    </row>
    <row r="506" spans="1:12" x14ac:dyDescent="0.2">
      <c r="A506" s="69">
        <v>45887</v>
      </c>
      <c r="B506" s="23">
        <v>1102</v>
      </c>
      <c r="C506" s="23">
        <v>4750</v>
      </c>
      <c r="D506" s="23">
        <v>5851</v>
      </c>
      <c r="E506" s="23">
        <v>4629</v>
      </c>
      <c r="F506" s="23">
        <v>300</v>
      </c>
      <c r="G506" s="23">
        <v>1523</v>
      </c>
      <c r="H506" s="23">
        <v>0</v>
      </c>
      <c r="I506" s="23">
        <v>4379</v>
      </c>
      <c r="J506" s="23">
        <v>347</v>
      </c>
      <c r="K506" s="23">
        <v>23</v>
      </c>
      <c r="L506" s="32" t="s">
        <v>627</v>
      </c>
    </row>
    <row r="507" spans="1:12" x14ac:dyDescent="0.2">
      <c r="A507" s="69">
        <v>45888</v>
      </c>
      <c r="B507" s="23">
        <v>1102</v>
      </c>
      <c r="C507" s="23">
        <v>4504</v>
      </c>
      <c r="D507" s="23">
        <v>5605</v>
      </c>
      <c r="E507" s="23">
        <v>4629</v>
      </c>
      <c r="F507" s="23">
        <v>300</v>
      </c>
      <c r="G507" s="23">
        <v>1277</v>
      </c>
      <c r="H507" s="23">
        <v>0</v>
      </c>
      <c r="I507" s="23">
        <v>4153</v>
      </c>
      <c r="J507" s="23">
        <v>328</v>
      </c>
      <c r="K507" s="23">
        <v>22</v>
      </c>
      <c r="L507" s="32" t="s">
        <v>628</v>
      </c>
    </row>
    <row r="508" spans="1:12" x14ac:dyDescent="0.2">
      <c r="A508" s="69">
        <v>45889</v>
      </c>
      <c r="B508" s="23">
        <v>1102</v>
      </c>
      <c r="C508" s="23">
        <v>4780</v>
      </c>
      <c r="D508" s="23">
        <v>5881</v>
      </c>
      <c r="E508" s="23">
        <v>4629</v>
      </c>
      <c r="F508" s="23">
        <v>300</v>
      </c>
      <c r="G508" s="23">
        <v>1553</v>
      </c>
      <c r="H508" s="23">
        <v>0</v>
      </c>
      <c r="I508" s="23">
        <v>4408</v>
      </c>
      <c r="J508" s="23">
        <v>348</v>
      </c>
      <c r="K508" s="23">
        <v>23</v>
      </c>
      <c r="L508" s="32" t="s">
        <v>629</v>
      </c>
    </row>
    <row r="509" spans="1:12" x14ac:dyDescent="0.2">
      <c r="A509" s="69">
        <v>45890</v>
      </c>
      <c r="B509" s="23">
        <v>1102</v>
      </c>
      <c r="C509" s="23">
        <v>4633</v>
      </c>
      <c r="D509" s="23">
        <v>5735</v>
      </c>
      <c r="E509" s="23">
        <v>4629</v>
      </c>
      <c r="F509" s="23">
        <v>300</v>
      </c>
      <c r="G509" s="23">
        <v>1406</v>
      </c>
      <c r="H509" s="23">
        <v>0</v>
      </c>
      <c r="I509" s="23">
        <v>4274</v>
      </c>
      <c r="J509" s="23">
        <v>338</v>
      </c>
      <c r="K509" s="23">
        <v>22</v>
      </c>
      <c r="L509" s="32" t="s">
        <v>630</v>
      </c>
    </row>
    <row r="510" spans="1:12" x14ac:dyDescent="0.2">
      <c r="A510" s="69">
        <v>45891</v>
      </c>
      <c r="B510" s="23">
        <v>1102</v>
      </c>
      <c r="C510" s="23">
        <v>5200</v>
      </c>
      <c r="D510" s="23">
        <v>6302</v>
      </c>
      <c r="E510" s="23">
        <v>4629</v>
      </c>
      <c r="F510" s="23">
        <v>300</v>
      </c>
      <c r="G510" s="23">
        <v>1973</v>
      </c>
      <c r="H510" s="23">
        <v>0</v>
      </c>
      <c r="I510" s="23">
        <v>4806</v>
      </c>
      <c r="J510" s="23">
        <v>370</v>
      </c>
      <c r="K510" s="23">
        <v>25</v>
      </c>
      <c r="L510" s="32" t="s">
        <v>631</v>
      </c>
    </row>
    <row r="511" spans="1:12" x14ac:dyDescent="0.2">
      <c r="A511" s="69">
        <v>45892</v>
      </c>
      <c r="B511" s="23">
        <v>1102</v>
      </c>
      <c r="C511" s="23">
        <v>5158</v>
      </c>
      <c r="D511" s="23">
        <v>6259</v>
      </c>
      <c r="E511" s="23">
        <v>4629</v>
      </c>
      <c r="F511" s="23">
        <v>300</v>
      </c>
      <c r="G511" s="23">
        <v>1931</v>
      </c>
      <c r="H511" s="23">
        <v>0</v>
      </c>
      <c r="I511" s="23">
        <v>4767</v>
      </c>
      <c r="J511" s="23">
        <v>368</v>
      </c>
      <c r="K511" s="23">
        <v>24</v>
      </c>
      <c r="L511" s="32" t="s">
        <v>632</v>
      </c>
    </row>
    <row r="512" spans="1:12" x14ac:dyDescent="0.2">
      <c r="A512" s="69">
        <v>45893</v>
      </c>
      <c r="B512" s="23">
        <v>1102</v>
      </c>
      <c r="C512" s="23">
        <v>5152</v>
      </c>
      <c r="D512" s="23">
        <v>6253</v>
      </c>
      <c r="E512" s="23">
        <v>4629</v>
      </c>
      <c r="F512" s="23">
        <v>300</v>
      </c>
      <c r="G512" s="23">
        <v>1925</v>
      </c>
      <c r="H512" s="23">
        <v>0</v>
      </c>
      <c r="I512" s="23">
        <v>4769</v>
      </c>
      <c r="J512" s="23">
        <v>361</v>
      </c>
      <c r="K512" s="23">
        <v>24</v>
      </c>
      <c r="L512" s="32" t="s">
        <v>633</v>
      </c>
    </row>
    <row r="513" spans="1:12" x14ac:dyDescent="0.2">
      <c r="A513" s="69">
        <v>45894</v>
      </c>
      <c r="B513" s="23">
        <v>1102</v>
      </c>
      <c r="C513" s="23">
        <v>4730</v>
      </c>
      <c r="D513" s="23">
        <v>5832</v>
      </c>
      <c r="E513" s="23">
        <v>4629</v>
      </c>
      <c r="F513" s="23">
        <v>300</v>
      </c>
      <c r="G513" s="23">
        <v>1503</v>
      </c>
      <c r="H513" s="23">
        <v>0</v>
      </c>
      <c r="I513" s="23">
        <v>4381</v>
      </c>
      <c r="J513" s="23">
        <v>328</v>
      </c>
      <c r="K513" s="23">
        <v>21</v>
      </c>
      <c r="L513" s="32" t="s">
        <v>634</v>
      </c>
    </row>
    <row r="514" spans="1:12" x14ac:dyDescent="0.2">
      <c r="A514" s="69">
        <v>45895</v>
      </c>
      <c r="B514" s="23">
        <v>1102</v>
      </c>
      <c r="C514" s="23">
        <v>4951</v>
      </c>
      <c r="D514" s="23">
        <v>6053</v>
      </c>
      <c r="E514" s="23">
        <v>4629</v>
      </c>
      <c r="F514" s="23">
        <v>300</v>
      </c>
      <c r="G514" s="23">
        <v>1724</v>
      </c>
      <c r="H514" s="23">
        <v>0</v>
      </c>
      <c r="I514" s="23">
        <v>4584</v>
      </c>
      <c r="J514" s="23">
        <v>345</v>
      </c>
      <c r="K514" s="23">
        <v>22</v>
      </c>
      <c r="L514" s="32" t="s">
        <v>635</v>
      </c>
    </row>
    <row r="515" spans="1:12" x14ac:dyDescent="0.2">
      <c r="A515" s="69">
        <v>45896</v>
      </c>
      <c r="B515" s="23">
        <v>1102</v>
      </c>
      <c r="C515" s="23">
        <v>4904</v>
      </c>
      <c r="D515" s="23">
        <v>6006</v>
      </c>
      <c r="E515" s="23">
        <v>4629</v>
      </c>
      <c r="F515" s="23">
        <v>300</v>
      </c>
      <c r="G515" s="23">
        <v>1677</v>
      </c>
      <c r="H515" s="23">
        <v>0</v>
      </c>
      <c r="I515" s="23">
        <v>4542</v>
      </c>
      <c r="J515" s="23">
        <v>340</v>
      </c>
      <c r="K515" s="23">
        <v>22</v>
      </c>
      <c r="L515" s="32" t="s">
        <v>636</v>
      </c>
    </row>
    <row r="516" spans="1:12" x14ac:dyDescent="0.2">
      <c r="A516" s="69">
        <v>45897</v>
      </c>
      <c r="B516" s="23">
        <v>1102</v>
      </c>
      <c r="C516" s="23">
        <v>4981</v>
      </c>
      <c r="D516" s="23">
        <v>6083</v>
      </c>
      <c r="E516" s="23">
        <v>4629</v>
      </c>
      <c r="F516" s="23">
        <v>300</v>
      </c>
      <c r="G516" s="23">
        <v>1754</v>
      </c>
      <c r="H516" s="23">
        <v>0</v>
      </c>
      <c r="I516" s="23">
        <v>4611</v>
      </c>
      <c r="J516" s="23">
        <v>348</v>
      </c>
      <c r="K516" s="23">
        <v>23</v>
      </c>
      <c r="L516" s="32" t="s">
        <v>637</v>
      </c>
    </row>
    <row r="517" spans="1:12" x14ac:dyDescent="0.2">
      <c r="A517" s="69">
        <v>45898</v>
      </c>
      <c r="B517" s="23">
        <v>1102</v>
      </c>
      <c r="C517" s="23">
        <v>4803</v>
      </c>
      <c r="D517" s="23">
        <v>5905</v>
      </c>
      <c r="E517" s="23">
        <v>4629</v>
      </c>
      <c r="F517" s="23">
        <v>300</v>
      </c>
      <c r="G517" s="23">
        <v>1576</v>
      </c>
      <c r="H517" s="23">
        <v>0</v>
      </c>
      <c r="I517" s="23">
        <v>4451</v>
      </c>
      <c r="J517" s="23">
        <v>331</v>
      </c>
      <c r="K517" s="23">
        <v>21</v>
      </c>
      <c r="L517" s="32" t="s">
        <v>638</v>
      </c>
    </row>
    <row r="518" spans="1:12" x14ac:dyDescent="0.2">
      <c r="A518" s="69">
        <v>45899</v>
      </c>
      <c r="B518" s="23">
        <v>1102</v>
      </c>
      <c r="C518" s="23">
        <v>4802</v>
      </c>
      <c r="D518" s="23">
        <v>5903</v>
      </c>
      <c r="E518" s="23">
        <v>4629</v>
      </c>
      <c r="F518" s="23">
        <v>300</v>
      </c>
      <c r="G518" s="23">
        <v>1575</v>
      </c>
      <c r="H518" s="23">
        <v>0</v>
      </c>
      <c r="I518" s="23">
        <v>4450</v>
      </c>
      <c r="J518" s="23">
        <v>331</v>
      </c>
      <c r="K518" s="23">
        <v>21</v>
      </c>
      <c r="L518" s="32" t="s">
        <v>639</v>
      </c>
    </row>
    <row r="519" spans="1:12" x14ac:dyDescent="0.2">
      <c r="A519" s="69">
        <v>45900</v>
      </c>
      <c r="B519" s="23">
        <v>1102</v>
      </c>
      <c r="C519" s="23">
        <v>4789</v>
      </c>
      <c r="D519" s="23">
        <v>5890</v>
      </c>
      <c r="E519" s="23">
        <v>4629</v>
      </c>
      <c r="F519" s="23">
        <v>300</v>
      </c>
      <c r="G519" s="23">
        <v>1562</v>
      </c>
      <c r="H519" s="23">
        <v>0</v>
      </c>
      <c r="I519" s="23">
        <v>4444</v>
      </c>
      <c r="J519" s="23">
        <v>325</v>
      </c>
      <c r="K519" s="23">
        <v>21</v>
      </c>
      <c r="L519" s="32" t="s">
        <v>640</v>
      </c>
    </row>
    <row r="520" spans="1:12" x14ac:dyDescent="0.2">
      <c r="A520" s="69">
        <v>45901</v>
      </c>
      <c r="B520" s="23">
        <v>1102</v>
      </c>
      <c r="C520" s="23">
        <v>4706</v>
      </c>
      <c r="D520" s="23">
        <v>5808</v>
      </c>
      <c r="E520" s="23">
        <v>4629</v>
      </c>
      <c r="F520" s="23">
        <v>300</v>
      </c>
      <c r="G520" s="23">
        <v>1479</v>
      </c>
      <c r="H520" s="23">
        <v>0</v>
      </c>
      <c r="I520" s="23">
        <v>4369</v>
      </c>
      <c r="J520" s="23">
        <v>317</v>
      </c>
      <c r="K520" s="23">
        <v>20</v>
      </c>
      <c r="L520" s="32" t="s">
        <v>641</v>
      </c>
    </row>
    <row r="521" spans="1:12" x14ac:dyDescent="0.2">
      <c r="A521" s="69">
        <v>45902</v>
      </c>
      <c r="B521" s="23">
        <v>1102</v>
      </c>
      <c r="C521" s="23">
        <v>4799</v>
      </c>
      <c r="D521" s="23">
        <v>5901</v>
      </c>
      <c r="E521" s="23">
        <v>4629</v>
      </c>
      <c r="F521" s="23">
        <v>300</v>
      </c>
      <c r="G521" s="23">
        <v>1573</v>
      </c>
      <c r="H521" s="23">
        <v>0</v>
      </c>
      <c r="I521" s="23">
        <v>4448</v>
      </c>
      <c r="J521" s="23">
        <v>330</v>
      </c>
      <c r="K521" s="23">
        <v>21</v>
      </c>
      <c r="L521" s="32" t="s">
        <v>642</v>
      </c>
    </row>
    <row r="522" spans="1:12" x14ac:dyDescent="0.2">
      <c r="A522" s="69">
        <v>45903</v>
      </c>
      <c r="B522" s="23">
        <v>1102</v>
      </c>
      <c r="C522" s="23">
        <v>4886</v>
      </c>
      <c r="D522" s="23">
        <v>5988</v>
      </c>
      <c r="E522" s="23">
        <v>4629</v>
      </c>
      <c r="F522" s="23">
        <v>300</v>
      </c>
      <c r="G522" s="23">
        <v>1659</v>
      </c>
      <c r="H522" s="23">
        <v>0</v>
      </c>
      <c r="I522" s="23">
        <v>4532</v>
      </c>
      <c r="J522" s="23">
        <v>331</v>
      </c>
      <c r="K522" s="23">
        <v>21</v>
      </c>
      <c r="L522" s="32" t="s">
        <v>643</v>
      </c>
    </row>
    <row r="523" spans="1:12" x14ac:dyDescent="0.2">
      <c r="A523" s="69">
        <v>45904</v>
      </c>
      <c r="B523" s="23">
        <v>1102</v>
      </c>
      <c r="C523" s="23">
        <v>4723</v>
      </c>
      <c r="D523" s="23">
        <v>5824</v>
      </c>
      <c r="E523" s="23">
        <v>4629</v>
      </c>
      <c r="F523" s="23">
        <v>300</v>
      </c>
      <c r="G523" s="23">
        <v>1496</v>
      </c>
      <c r="H523" s="23">
        <v>0</v>
      </c>
      <c r="I523" s="23">
        <v>4383</v>
      </c>
      <c r="J523" s="23">
        <v>319</v>
      </c>
      <c r="K523" s="23">
        <v>21</v>
      </c>
      <c r="L523" s="32" t="s">
        <v>644</v>
      </c>
    </row>
    <row r="524" spans="1:12" x14ac:dyDescent="0.2">
      <c r="A524" s="69">
        <v>45905</v>
      </c>
      <c r="B524" s="23">
        <v>1102</v>
      </c>
      <c r="C524" s="23">
        <v>4757</v>
      </c>
      <c r="D524" s="23">
        <v>5858</v>
      </c>
      <c r="E524" s="23">
        <v>4629</v>
      </c>
      <c r="F524" s="23">
        <v>300</v>
      </c>
      <c r="G524" s="23">
        <v>1530</v>
      </c>
      <c r="H524" s="23">
        <v>0</v>
      </c>
      <c r="I524" s="23">
        <v>4408</v>
      </c>
      <c r="J524" s="23">
        <v>329</v>
      </c>
      <c r="K524" s="23">
        <v>22</v>
      </c>
      <c r="L524" s="32" t="s">
        <v>645</v>
      </c>
    </row>
    <row r="525" spans="1:12" x14ac:dyDescent="0.2">
      <c r="A525" s="69">
        <v>45906</v>
      </c>
      <c r="B525" s="23">
        <v>1102</v>
      </c>
      <c r="C525" s="23">
        <v>4725</v>
      </c>
      <c r="D525" s="23">
        <v>5827</v>
      </c>
      <c r="E525" s="23">
        <v>4629</v>
      </c>
      <c r="F525" s="23">
        <v>300</v>
      </c>
      <c r="G525" s="23">
        <v>1498</v>
      </c>
      <c r="H525" s="23">
        <v>0</v>
      </c>
      <c r="I525" s="23">
        <v>4374</v>
      </c>
      <c r="J525" s="23">
        <v>331</v>
      </c>
      <c r="K525" s="23">
        <v>21</v>
      </c>
      <c r="L525" s="32" t="s">
        <v>646</v>
      </c>
    </row>
    <row r="526" spans="1:12" x14ac:dyDescent="0.2">
      <c r="A526" s="69">
        <v>45907</v>
      </c>
      <c r="B526" s="23">
        <v>1102</v>
      </c>
      <c r="C526" s="23">
        <v>4800</v>
      </c>
      <c r="D526" s="23">
        <v>5901</v>
      </c>
      <c r="E526" s="23">
        <v>4629</v>
      </c>
      <c r="F526" s="23">
        <v>300</v>
      </c>
      <c r="G526" s="23">
        <v>1573</v>
      </c>
      <c r="H526" s="23">
        <v>0</v>
      </c>
      <c r="I526" s="23">
        <v>4438</v>
      </c>
      <c r="J526" s="23">
        <v>339</v>
      </c>
      <c r="K526" s="23">
        <v>22</v>
      </c>
      <c r="L526" s="32" t="s">
        <v>647</v>
      </c>
    </row>
    <row r="527" spans="1:12" x14ac:dyDescent="0.2">
      <c r="A527" s="69">
        <v>45908</v>
      </c>
      <c r="B527" s="23">
        <v>1102</v>
      </c>
      <c r="C527" s="23">
        <v>4906</v>
      </c>
      <c r="D527" s="23">
        <v>6008</v>
      </c>
      <c r="E527" s="23">
        <v>4629</v>
      </c>
      <c r="F527" s="23">
        <v>300</v>
      </c>
      <c r="G527" s="23">
        <v>1679</v>
      </c>
      <c r="H527" s="23">
        <v>0</v>
      </c>
      <c r="I527" s="23">
        <v>4487</v>
      </c>
      <c r="J527" s="23">
        <v>397</v>
      </c>
      <c r="K527" s="23">
        <v>23</v>
      </c>
      <c r="L527" s="32" t="s">
        <v>648</v>
      </c>
    </row>
    <row r="528" spans="1:12" x14ac:dyDescent="0.2">
      <c r="A528" s="69">
        <v>45909</v>
      </c>
      <c r="B528" s="23">
        <v>902</v>
      </c>
      <c r="C528" s="23">
        <v>5173</v>
      </c>
      <c r="D528" s="23">
        <v>6074</v>
      </c>
      <c r="E528" s="23">
        <v>4629</v>
      </c>
      <c r="F528" s="23">
        <v>300</v>
      </c>
      <c r="G528" s="23">
        <v>1746</v>
      </c>
      <c r="H528" s="23">
        <v>0</v>
      </c>
      <c r="I528" s="23">
        <v>4606</v>
      </c>
      <c r="J528" s="23">
        <v>542</v>
      </c>
      <c r="K528" s="23">
        <v>23</v>
      </c>
      <c r="L528" s="32" t="s">
        <v>724</v>
      </c>
    </row>
    <row r="529" spans="1:12" x14ac:dyDescent="0.2">
      <c r="A529" s="69">
        <v>45910</v>
      </c>
      <c r="B529" s="23">
        <v>902</v>
      </c>
      <c r="C529" s="23">
        <v>5263</v>
      </c>
      <c r="D529" s="23">
        <v>6165</v>
      </c>
      <c r="E529" s="23">
        <v>4629</v>
      </c>
      <c r="F529" s="23">
        <v>300</v>
      </c>
      <c r="G529" s="23">
        <v>1836</v>
      </c>
      <c r="H529" s="23">
        <v>0</v>
      </c>
      <c r="I529" s="23">
        <v>4683</v>
      </c>
      <c r="J529" s="23">
        <v>556</v>
      </c>
      <c r="K529" s="23">
        <v>24</v>
      </c>
      <c r="L529" s="32" t="s">
        <v>725</v>
      </c>
    </row>
    <row r="530" spans="1:12" x14ac:dyDescent="0.2">
      <c r="A530" s="69">
        <v>45911</v>
      </c>
      <c r="B530" s="23">
        <v>902</v>
      </c>
      <c r="C530" s="23">
        <v>5365</v>
      </c>
      <c r="D530" s="23">
        <v>6266</v>
      </c>
      <c r="E530" s="23">
        <v>4629</v>
      </c>
      <c r="F530" s="23">
        <v>300</v>
      </c>
      <c r="G530" s="23">
        <v>1938</v>
      </c>
      <c r="H530" s="23">
        <v>0</v>
      </c>
      <c r="I530" s="23">
        <v>4782</v>
      </c>
      <c r="J530" s="23">
        <v>557</v>
      </c>
      <c r="K530" s="23">
        <v>24</v>
      </c>
      <c r="L530" s="32" t="s">
        <v>726</v>
      </c>
    </row>
    <row r="531" spans="1:12" x14ac:dyDescent="0.2">
      <c r="A531" s="69">
        <v>45912</v>
      </c>
      <c r="B531" s="23">
        <v>902</v>
      </c>
      <c r="C531" s="23">
        <v>5608</v>
      </c>
      <c r="D531" s="23">
        <v>6509</v>
      </c>
      <c r="E531" s="23">
        <v>4629</v>
      </c>
      <c r="F531" s="23">
        <v>300</v>
      </c>
      <c r="G531" s="23">
        <v>2181</v>
      </c>
      <c r="H531" s="23">
        <v>0</v>
      </c>
      <c r="I531" s="23">
        <v>5012</v>
      </c>
      <c r="J531" s="23">
        <v>570</v>
      </c>
      <c r="K531" s="23">
        <v>25</v>
      </c>
      <c r="L531" s="32" t="s">
        <v>727</v>
      </c>
    </row>
    <row r="532" spans="1:12" x14ac:dyDescent="0.2">
      <c r="A532" s="69">
        <v>45913</v>
      </c>
      <c r="B532" s="23">
        <v>902</v>
      </c>
      <c r="C532" s="23">
        <v>5624</v>
      </c>
      <c r="D532" s="23">
        <v>6525</v>
      </c>
      <c r="E532" s="23">
        <v>4667</v>
      </c>
      <c r="F532" s="23">
        <v>300</v>
      </c>
      <c r="G532" s="23">
        <v>2159</v>
      </c>
      <c r="H532" s="23">
        <v>0</v>
      </c>
      <c r="I532" s="23">
        <v>4996</v>
      </c>
      <c r="J532" s="23">
        <v>602</v>
      </c>
      <c r="K532" s="23">
        <v>25</v>
      </c>
      <c r="L532" s="32" t="s">
        <v>728</v>
      </c>
    </row>
    <row r="533" spans="1:12" x14ac:dyDescent="0.2">
      <c r="A533" s="69">
        <v>45914</v>
      </c>
      <c r="B533" s="23">
        <v>902</v>
      </c>
      <c r="C533" s="23">
        <v>5524</v>
      </c>
      <c r="D533" s="23">
        <v>6426</v>
      </c>
      <c r="E533" s="23">
        <v>4667</v>
      </c>
      <c r="F533" s="23">
        <v>300</v>
      </c>
      <c r="G533" s="23">
        <v>2059</v>
      </c>
      <c r="H533" s="23">
        <v>0</v>
      </c>
      <c r="I533" s="23">
        <v>4920</v>
      </c>
      <c r="J533" s="23">
        <v>580</v>
      </c>
      <c r="K533" s="23">
        <v>24</v>
      </c>
      <c r="L533" s="32" t="s">
        <v>722</v>
      </c>
    </row>
    <row r="534" spans="1:12" x14ac:dyDescent="0.2">
      <c r="A534" s="69">
        <v>45915</v>
      </c>
      <c r="B534" s="23">
        <v>902</v>
      </c>
      <c r="C534" s="23">
        <v>5420</v>
      </c>
      <c r="D534" s="23">
        <v>6321</v>
      </c>
      <c r="E534" s="23">
        <v>4667</v>
      </c>
      <c r="F534" s="23">
        <v>300</v>
      </c>
      <c r="G534" s="23">
        <v>1955</v>
      </c>
      <c r="H534" s="23">
        <v>0</v>
      </c>
      <c r="I534" s="23">
        <v>4829</v>
      </c>
      <c r="J534" s="23">
        <v>566</v>
      </c>
      <c r="K534" s="23">
        <v>23</v>
      </c>
      <c r="L534" s="32" t="s">
        <v>729</v>
      </c>
    </row>
    <row r="535" spans="1:12" x14ac:dyDescent="0.2">
      <c r="A535" s="69">
        <v>45916</v>
      </c>
      <c r="B535" s="23">
        <v>902</v>
      </c>
      <c r="C535" s="23">
        <v>5458</v>
      </c>
      <c r="D535" s="23">
        <v>6360</v>
      </c>
      <c r="E535" s="23">
        <v>4667</v>
      </c>
      <c r="F535" s="23">
        <v>300</v>
      </c>
      <c r="G535" s="23">
        <v>1994</v>
      </c>
      <c r="H535" s="23">
        <v>0</v>
      </c>
      <c r="I535" s="23">
        <v>4858</v>
      </c>
      <c r="J535" s="23">
        <v>579</v>
      </c>
      <c r="K535" s="23">
        <v>23</v>
      </c>
      <c r="L535" s="32" t="s">
        <v>730</v>
      </c>
    </row>
    <row r="536" spans="1:12" x14ac:dyDescent="0.2">
      <c r="A536" s="69">
        <v>45917</v>
      </c>
      <c r="B536" s="23">
        <v>902</v>
      </c>
      <c r="C536" s="23">
        <v>5607</v>
      </c>
      <c r="D536" s="23">
        <v>6508</v>
      </c>
      <c r="E536" s="23">
        <v>4667</v>
      </c>
      <c r="F536" s="23">
        <v>300</v>
      </c>
      <c r="G536" s="23">
        <v>2142</v>
      </c>
      <c r="H536" s="23">
        <v>0</v>
      </c>
      <c r="I536" s="23">
        <v>4991</v>
      </c>
      <c r="J536" s="23">
        <v>593</v>
      </c>
      <c r="K536" s="23">
        <v>24</v>
      </c>
      <c r="L536" s="32" t="s">
        <v>731</v>
      </c>
    </row>
    <row r="537" spans="1:12" x14ac:dyDescent="0.2">
      <c r="A537" s="69">
        <v>45918</v>
      </c>
      <c r="B537" s="23">
        <v>602</v>
      </c>
      <c r="C537" s="23">
        <v>5933</v>
      </c>
      <c r="D537" s="23">
        <v>6535</v>
      </c>
      <c r="E537" s="23">
        <v>4667</v>
      </c>
      <c r="F537" s="23">
        <v>300</v>
      </c>
      <c r="G537" s="23">
        <v>2169</v>
      </c>
      <c r="H537" s="23">
        <v>0</v>
      </c>
      <c r="I537" s="23">
        <v>5104</v>
      </c>
      <c r="J537" s="23">
        <v>805</v>
      </c>
      <c r="K537" s="23">
        <v>24</v>
      </c>
      <c r="L537" s="32" t="s">
        <v>723</v>
      </c>
    </row>
    <row r="538" spans="1:12" x14ac:dyDescent="0.2">
      <c r="A538" s="69">
        <v>45919</v>
      </c>
      <c r="B538" s="23">
        <v>787</v>
      </c>
      <c r="C538" s="23">
        <v>5561</v>
      </c>
      <c r="D538" s="23">
        <v>6347</v>
      </c>
      <c r="E538" s="23">
        <v>4667</v>
      </c>
      <c r="F538" s="23">
        <v>300</v>
      </c>
      <c r="G538" s="23">
        <v>1981</v>
      </c>
      <c r="H538" s="23">
        <v>0</v>
      </c>
      <c r="I538" s="23">
        <v>4966</v>
      </c>
      <c r="J538" s="23">
        <v>572</v>
      </c>
      <c r="K538" s="23">
        <v>22</v>
      </c>
      <c r="L538" s="32" t="s">
        <v>719</v>
      </c>
    </row>
    <row r="539" spans="1:12" x14ac:dyDescent="0.2">
      <c r="A539" s="69">
        <v>45920</v>
      </c>
      <c r="B539" s="23">
        <v>787</v>
      </c>
      <c r="C539" s="23">
        <v>5606</v>
      </c>
      <c r="D539" s="23">
        <v>6392</v>
      </c>
      <c r="E539" s="23">
        <v>4667</v>
      </c>
      <c r="F539" s="23">
        <v>300</v>
      </c>
      <c r="G539" s="23">
        <v>2026</v>
      </c>
      <c r="H539" s="23">
        <v>0</v>
      </c>
      <c r="I539" s="23">
        <v>5010</v>
      </c>
      <c r="J539" s="23">
        <v>574</v>
      </c>
      <c r="K539" s="23">
        <v>22</v>
      </c>
      <c r="L539" s="32" t="s">
        <v>721</v>
      </c>
    </row>
    <row r="540" spans="1:12" x14ac:dyDescent="0.2">
      <c r="A540" s="69">
        <v>45921</v>
      </c>
      <c r="B540" s="23">
        <v>787</v>
      </c>
      <c r="C540" s="23">
        <v>5540</v>
      </c>
      <c r="D540" s="23">
        <v>6327</v>
      </c>
      <c r="E540" s="23">
        <v>4667</v>
      </c>
      <c r="F540" s="23">
        <v>300</v>
      </c>
      <c r="G540" s="23">
        <v>1960</v>
      </c>
      <c r="H540" s="23">
        <v>0</v>
      </c>
      <c r="I540" s="23">
        <v>4963</v>
      </c>
      <c r="J540" s="23">
        <v>555</v>
      </c>
      <c r="K540" s="23">
        <v>22</v>
      </c>
      <c r="L540" s="32" t="s">
        <v>732</v>
      </c>
    </row>
    <row r="541" spans="1:12" x14ac:dyDescent="0.2">
      <c r="A541" s="69">
        <v>45922</v>
      </c>
      <c r="B541" s="23">
        <v>787</v>
      </c>
      <c r="C541" s="23">
        <v>5235</v>
      </c>
      <c r="D541" s="23">
        <v>6021</v>
      </c>
      <c r="E541" s="23">
        <v>4667</v>
      </c>
      <c r="F541" s="23">
        <v>300</v>
      </c>
      <c r="G541" s="23">
        <v>1655</v>
      </c>
      <c r="H541" s="23">
        <v>0</v>
      </c>
      <c r="I541" s="23">
        <v>4672</v>
      </c>
      <c r="J541" s="23">
        <v>542</v>
      </c>
      <c r="K541" s="23">
        <v>20</v>
      </c>
      <c r="L541" s="57" t="s">
        <v>733</v>
      </c>
    </row>
    <row r="542" spans="1:12" x14ac:dyDescent="0.2">
      <c r="A542" s="69">
        <v>45923</v>
      </c>
      <c r="B542" s="23">
        <v>787</v>
      </c>
      <c r="C542" s="23">
        <v>5170</v>
      </c>
      <c r="D542" s="23">
        <v>5957</v>
      </c>
      <c r="E542" s="23">
        <v>4667</v>
      </c>
      <c r="F542" s="23">
        <v>300</v>
      </c>
      <c r="G542" s="23">
        <v>1590</v>
      </c>
      <c r="H542" s="23">
        <v>0</v>
      </c>
      <c r="I542" s="23">
        <v>4619</v>
      </c>
      <c r="J542" s="23">
        <v>532</v>
      </c>
      <c r="K542" s="23">
        <v>19</v>
      </c>
      <c r="L542" s="32" t="s">
        <v>734</v>
      </c>
    </row>
    <row r="543" spans="1:12" x14ac:dyDescent="0.2">
      <c r="A543" s="69">
        <v>45924</v>
      </c>
      <c r="B543" s="23">
        <v>787</v>
      </c>
      <c r="C543" s="23">
        <v>5167</v>
      </c>
      <c r="D543" s="23">
        <v>5953</v>
      </c>
      <c r="E543" s="23">
        <v>4667</v>
      </c>
      <c r="F543" s="23">
        <v>300</v>
      </c>
      <c r="G543" s="23">
        <v>1587</v>
      </c>
      <c r="H543" s="23">
        <v>0</v>
      </c>
      <c r="I543" s="23">
        <v>4611</v>
      </c>
      <c r="J543" s="23">
        <v>535</v>
      </c>
      <c r="K543" s="23">
        <v>20</v>
      </c>
      <c r="L543" s="32" t="s">
        <v>720</v>
      </c>
    </row>
    <row r="544" spans="1:12" x14ac:dyDescent="0.2">
      <c r="A544" s="69">
        <v>45925</v>
      </c>
      <c r="B544" s="23">
        <v>787</v>
      </c>
      <c r="C544" s="23">
        <v>4795</v>
      </c>
      <c r="D544" s="23">
        <v>5581</v>
      </c>
      <c r="E544" s="23">
        <v>4667</v>
      </c>
      <c r="F544" s="23">
        <v>300</v>
      </c>
      <c r="G544" s="23">
        <v>1215</v>
      </c>
      <c r="H544" s="23">
        <v>0</v>
      </c>
      <c r="I544" s="23">
        <v>4274</v>
      </c>
      <c r="J544" s="23">
        <v>499</v>
      </c>
      <c r="K544" s="23">
        <v>18</v>
      </c>
      <c r="L544" s="32" t="s">
        <v>738</v>
      </c>
    </row>
    <row r="545" spans="1:12" x14ac:dyDescent="0.2">
      <c r="A545" s="69">
        <v>45926</v>
      </c>
      <c r="B545" s="23">
        <v>787</v>
      </c>
      <c r="C545" s="23">
        <v>5003</v>
      </c>
      <c r="D545" s="23">
        <v>5789</v>
      </c>
      <c r="E545" s="23">
        <v>4667</v>
      </c>
      <c r="F545" s="23">
        <v>300</v>
      </c>
      <c r="G545" s="23">
        <v>1423</v>
      </c>
      <c r="H545" s="23">
        <v>0</v>
      </c>
      <c r="I545" s="23">
        <v>4461</v>
      </c>
      <c r="J545" s="23">
        <v>522</v>
      </c>
      <c r="K545" s="23">
        <v>19</v>
      </c>
      <c r="L545" s="32" t="s">
        <v>718</v>
      </c>
    </row>
    <row r="546" spans="1:12" x14ac:dyDescent="0.2">
      <c r="A546" s="69">
        <v>45927</v>
      </c>
      <c r="B546" s="23">
        <v>787</v>
      </c>
      <c r="C546" s="23">
        <v>4980</v>
      </c>
      <c r="D546" s="23">
        <v>5766</v>
      </c>
      <c r="E546" s="23">
        <v>4667</v>
      </c>
      <c r="F546" s="23">
        <v>300</v>
      </c>
      <c r="G546" s="23">
        <v>1400</v>
      </c>
      <c r="H546" s="23">
        <v>0</v>
      </c>
      <c r="I546" s="23">
        <v>4446</v>
      </c>
      <c r="J546" s="23">
        <v>516</v>
      </c>
      <c r="K546" s="23">
        <v>19</v>
      </c>
      <c r="L546" s="32" t="s">
        <v>735</v>
      </c>
    </row>
    <row r="547" spans="1:12" x14ac:dyDescent="0.2">
      <c r="A547" s="69">
        <v>45928</v>
      </c>
      <c r="B547" s="23">
        <v>587</v>
      </c>
      <c r="C547" s="23">
        <v>5167</v>
      </c>
      <c r="D547" s="23">
        <v>5754</v>
      </c>
      <c r="E547" s="23">
        <v>4667</v>
      </c>
      <c r="F547" s="23">
        <v>300</v>
      </c>
      <c r="G547" s="23">
        <v>1387</v>
      </c>
      <c r="H547" s="23">
        <v>0</v>
      </c>
      <c r="I547" s="23">
        <v>4633</v>
      </c>
      <c r="J547" s="23">
        <v>516</v>
      </c>
      <c r="K547" s="23">
        <v>19</v>
      </c>
      <c r="L547" s="32" t="s">
        <v>737</v>
      </c>
    </row>
    <row r="548" spans="1:12" x14ac:dyDescent="0.2">
      <c r="A548" s="69">
        <v>45929</v>
      </c>
      <c r="B548" s="23">
        <v>587</v>
      </c>
      <c r="C548" s="23">
        <v>5422</v>
      </c>
      <c r="D548" s="23">
        <v>6009</v>
      </c>
      <c r="E548" s="23">
        <v>4667</v>
      </c>
      <c r="F548" s="23">
        <v>300</v>
      </c>
      <c r="G548" s="23">
        <v>1643</v>
      </c>
      <c r="H548" s="23">
        <v>0</v>
      </c>
      <c r="I548" s="23">
        <v>4868</v>
      </c>
      <c r="J548" s="23">
        <v>535</v>
      </c>
      <c r="K548" s="23">
        <v>18</v>
      </c>
      <c r="L548" s="32" t="s">
        <v>739</v>
      </c>
    </row>
    <row r="549" spans="1:12" x14ac:dyDescent="0.2">
      <c r="A549" s="69">
        <v>45930</v>
      </c>
      <c r="B549" s="23">
        <v>587</v>
      </c>
      <c r="C549" s="23">
        <v>5403</v>
      </c>
      <c r="D549" s="23">
        <v>5990</v>
      </c>
      <c r="E549" s="23">
        <v>4667</v>
      </c>
      <c r="F549" s="23">
        <v>300</v>
      </c>
      <c r="G549" s="23">
        <v>1624</v>
      </c>
      <c r="H549" s="23">
        <v>0</v>
      </c>
      <c r="I549" s="23">
        <v>4852</v>
      </c>
      <c r="J549" s="23">
        <v>532</v>
      </c>
      <c r="K549" s="23">
        <v>18</v>
      </c>
      <c r="L549" s="32" t="s">
        <v>740</v>
      </c>
    </row>
    <row r="550" spans="1:12" x14ac:dyDescent="0.2">
      <c r="L550" s="57"/>
    </row>
  </sheetData>
  <sortState xmlns:xlrd2="http://schemas.microsoft.com/office/spreadsheetml/2017/richdata2" ref="A2:L549">
    <sortCondition ref="A2:A549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10D8-F06E-4D1B-A4C7-B0DE02F69CE2}">
  <sheetPr codeName="Sheet11"/>
  <dimension ref="A1:H35"/>
  <sheetViews>
    <sheetView zoomScale="190" zoomScaleNormal="190" workbookViewId="0">
      <selection activeCell="B9" sqref="B9"/>
    </sheetView>
  </sheetViews>
  <sheetFormatPr defaultRowHeight="12.75" x14ac:dyDescent="0.2"/>
  <cols>
    <col min="1" max="16384" width="9.140625" style="93"/>
  </cols>
  <sheetData>
    <row r="1" spans="1:8" x14ac:dyDescent="0.2">
      <c r="A1" s="94" t="s">
        <v>48</v>
      </c>
      <c r="B1" s="94" t="s">
        <v>142</v>
      </c>
      <c r="C1" s="94" t="s">
        <v>141</v>
      </c>
      <c r="D1" s="94" t="s">
        <v>140</v>
      </c>
      <c r="H1" s="93" t="s">
        <v>677</v>
      </c>
    </row>
    <row r="2" spans="1:8" x14ac:dyDescent="0.2">
      <c r="A2" s="93" t="s">
        <v>48</v>
      </c>
      <c r="B2" s="93" t="s">
        <v>34</v>
      </c>
      <c r="C2" s="93" t="s">
        <v>42</v>
      </c>
      <c r="D2" s="93" t="s">
        <v>85</v>
      </c>
      <c r="G2" s="93" t="s">
        <v>142</v>
      </c>
      <c r="H2" s="93" t="s">
        <v>678</v>
      </c>
    </row>
    <row r="3" spans="1:8" x14ac:dyDescent="0.2">
      <c r="B3" s="93" t="s">
        <v>139</v>
      </c>
      <c r="C3" s="93" t="s">
        <v>685</v>
      </c>
      <c r="G3" s="93" t="s">
        <v>141</v>
      </c>
      <c r="H3" s="93" t="s">
        <v>679</v>
      </c>
    </row>
    <row r="4" spans="1:8" x14ac:dyDescent="0.2">
      <c r="B4" s="93" t="s">
        <v>78</v>
      </c>
      <c r="C4" s="93" t="s">
        <v>686</v>
      </c>
      <c r="G4" s="93" t="s">
        <v>140</v>
      </c>
      <c r="H4" s="93" t="s">
        <v>680</v>
      </c>
    </row>
    <row r="5" spans="1:8" x14ac:dyDescent="0.2">
      <c r="B5" s="93" t="s">
        <v>35</v>
      </c>
      <c r="C5" s="93" t="s">
        <v>687</v>
      </c>
    </row>
    <row r="6" spans="1:8" x14ac:dyDescent="0.2">
      <c r="B6" s="93" t="s">
        <v>43</v>
      </c>
      <c r="C6" s="93" t="s">
        <v>688</v>
      </c>
    </row>
    <row r="7" spans="1:8" x14ac:dyDescent="0.2">
      <c r="B7" s="93" t="s">
        <v>681</v>
      </c>
      <c r="C7" s="93" t="s">
        <v>36</v>
      </c>
    </row>
    <row r="8" spans="1:8" x14ac:dyDescent="0.2">
      <c r="B8" s="93" t="s">
        <v>37</v>
      </c>
      <c r="C8" s="93" t="s">
        <v>86</v>
      </c>
    </row>
    <row r="9" spans="1:8" x14ac:dyDescent="0.2">
      <c r="B9" s="93" t="s">
        <v>150</v>
      </c>
      <c r="C9" s="93" t="s">
        <v>149</v>
      </c>
    </row>
    <row r="10" spans="1:8" x14ac:dyDescent="0.2">
      <c r="B10" s="93" t="s">
        <v>88</v>
      </c>
      <c r="C10" s="93" t="s">
        <v>689</v>
      </c>
    </row>
    <row r="11" spans="1:8" x14ac:dyDescent="0.2">
      <c r="B11" s="93" t="s">
        <v>99</v>
      </c>
      <c r="C11" s="93" t="s">
        <v>690</v>
      </c>
    </row>
    <row r="12" spans="1:8" x14ac:dyDescent="0.2">
      <c r="B12" s="93" t="s">
        <v>682</v>
      </c>
      <c r="C12" s="93" t="s">
        <v>691</v>
      </c>
    </row>
    <row r="13" spans="1:8" x14ac:dyDescent="0.2">
      <c r="B13" s="93" t="s">
        <v>144</v>
      </c>
      <c r="C13" s="93" t="s">
        <v>692</v>
      </c>
    </row>
    <row r="14" spans="1:8" x14ac:dyDescent="0.2">
      <c r="B14" s="93" t="s">
        <v>683</v>
      </c>
      <c r="C14" s="93" t="s">
        <v>143</v>
      </c>
    </row>
    <row r="15" spans="1:8" x14ac:dyDescent="0.2">
      <c r="B15" s="93" t="s">
        <v>684</v>
      </c>
      <c r="C15" s="93" t="s">
        <v>693</v>
      </c>
    </row>
    <row r="16" spans="1:8" x14ac:dyDescent="0.2">
      <c r="C16" s="93" t="s">
        <v>694</v>
      </c>
    </row>
    <row r="17" spans="3:3" x14ac:dyDescent="0.2">
      <c r="C17" s="93" t="s">
        <v>695</v>
      </c>
    </row>
    <row r="18" spans="3:3" x14ac:dyDescent="0.2">
      <c r="C18" s="93" t="s">
        <v>80</v>
      </c>
    </row>
    <row r="19" spans="3:3" x14ac:dyDescent="0.2">
      <c r="C19" s="93" t="s">
        <v>696</v>
      </c>
    </row>
    <row r="20" spans="3:3" x14ac:dyDescent="0.2">
      <c r="C20" s="93" t="s">
        <v>109</v>
      </c>
    </row>
    <row r="21" spans="3:3" x14ac:dyDescent="0.2">
      <c r="C21" s="93" t="s">
        <v>77</v>
      </c>
    </row>
    <row r="22" spans="3:3" x14ac:dyDescent="0.2">
      <c r="C22" s="93" t="s">
        <v>697</v>
      </c>
    </row>
    <row r="23" spans="3:3" x14ac:dyDescent="0.2">
      <c r="C23" s="93" t="s">
        <v>698</v>
      </c>
    </row>
    <row r="24" spans="3:3" x14ac:dyDescent="0.2">
      <c r="C24" s="93" t="s">
        <v>699</v>
      </c>
    </row>
    <row r="25" spans="3:3" x14ac:dyDescent="0.2">
      <c r="C25" s="93" t="s">
        <v>700</v>
      </c>
    </row>
    <row r="26" spans="3:3" x14ac:dyDescent="0.2">
      <c r="C26" s="93" t="s">
        <v>701</v>
      </c>
    </row>
    <row r="27" spans="3:3" x14ac:dyDescent="0.2">
      <c r="C27" s="93" t="s">
        <v>41</v>
      </c>
    </row>
    <row r="28" spans="3:3" x14ac:dyDescent="0.2">
      <c r="C28" s="93" t="s">
        <v>702</v>
      </c>
    </row>
    <row r="29" spans="3:3" x14ac:dyDescent="0.2">
      <c r="C29" s="93" t="s">
        <v>83</v>
      </c>
    </row>
    <row r="30" spans="3:3" x14ac:dyDescent="0.2">
      <c r="C30" s="93" t="s">
        <v>81</v>
      </c>
    </row>
    <row r="31" spans="3:3" x14ac:dyDescent="0.2">
      <c r="C31" s="93" t="s">
        <v>703</v>
      </c>
    </row>
    <row r="32" spans="3:3" x14ac:dyDescent="0.2">
      <c r="C32" s="93" t="s">
        <v>704</v>
      </c>
    </row>
    <row r="33" spans="3:3" x14ac:dyDescent="0.2">
      <c r="C33" s="93" t="s">
        <v>148</v>
      </c>
    </row>
    <row r="34" spans="3:3" x14ac:dyDescent="0.2">
      <c r="C34" s="93" t="s">
        <v>45</v>
      </c>
    </row>
    <row r="35" spans="3:3" x14ac:dyDescent="0.2">
      <c r="C35" s="93" t="s">
        <v>87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D98FA-BF85-4A39-B197-A718DCFD9AFE}">
  <sheetPr codeName="Sheet5"/>
  <dimension ref="A1:M53"/>
  <sheetViews>
    <sheetView zoomScale="160" zoomScaleNormal="160" workbookViewId="0">
      <selection activeCell="J9" sqref="J9"/>
    </sheetView>
  </sheetViews>
  <sheetFormatPr defaultRowHeight="12.75" x14ac:dyDescent="0.2"/>
  <cols>
    <col min="1" max="1" width="11.42578125" customWidth="1"/>
    <col min="4" max="4" width="9" customWidth="1"/>
    <col min="10" max="10" width="9.42578125" customWidth="1"/>
    <col min="12" max="12" width="10.85546875" customWidth="1"/>
  </cols>
  <sheetData>
    <row r="1" spans="1:13" x14ac:dyDescent="0.2">
      <c r="A1" s="112" t="s">
        <v>659</v>
      </c>
    </row>
    <row r="2" spans="1:13" x14ac:dyDescent="0.2">
      <c r="A2" s="36"/>
    </row>
    <row r="3" spans="1:13" x14ac:dyDescent="0.2">
      <c r="A3" s="36" t="s">
        <v>660</v>
      </c>
      <c r="B3">
        <f>B12+D12+F12</f>
        <v>902</v>
      </c>
      <c r="F3" s="125" t="s">
        <v>55</v>
      </c>
      <c r="G3" s="126" t="s">
        <v>662</v>
      </c>
      <c r="H3" s="127"/>
    </row>
    <row r="4" spans="1:13" x14ac:dyDescent="0.2">
      <c r="A4" s="56" t="s">
        <v>661</v>
      </c>
      <c r="B4">
        <f>B13+D13+F13</f>
        <v>5599</v>
      </c>
      <c r="F4" s="128" t="s">
        <v>73</v>
      </c>
      <c r="G4" s="35" t="s">
        <v>662</v>
      </c>
      <c r="H4" s="129"/>
    </row>
    <row r="5" spans="1:13" x14ac:dyDescent="0.2">
      <c r="A5" s="56"/>
      <c r="F5" s="130" t="s">
        <v>91</v>
      </c>
      <c r="G5" s="131" t="s">
        <v>663</v>
      </c>
      <c r="H5" s="132"/>
    </row>
    <row r="6" spans="1:13" x14ac:dyDescent="0.2">
      <c r="A6" s="56" t="s">
        <v>55</v>
      </c>
      <c r="B6" s="124">
        <f>4282+600</f>
        <v>4882</v>
      </c>
      <c r="C6" s="56" t="s">
        <v>676</v>
      </c>
      <c r="L6" s="56"/>
      <c r="M6" s="35"/>
    </row>
    <row r="7" spans="1:13" x14ac:dyDescent="0.2">
      <c r="A7" s="56" t="s">
        <v>73</v>
      </c>
      <c r="B7" s="124">
        <v>1374</v>
      </c>
      <c r="C7" s="56" t="s">
        <v>676</v>
      </c>
      <c r="L7" s="56"/>
      <c r="M7" s="35"/>
    </row>
    <row r="8" spans="1:13" x14ac:dyDescent="0.2">
      <c r="A8" s="56" t="s">
        <v>91</v>
      </c>
      <c r="B8" s="124">
        <v>253</v>
      </c>
      <c r="C8" s="56" t="s">
        <v>676</v>
      </c>
      <c r="L8" s="56"/>
      <c r="M8" s="35"/>
    </row>
    <row r="9" spans="1:13" x14ac:dyDescent="0.2">
      <c r="A9" s="56" t="s">
        <v>113</v>
      </c>
      <c r="B9" s="36">
        <f>SUM(B6:B8)</f>
        <v>6509</v>
      </c>
    </row>
    <row r="10" spans="1:13" x14ac:dyDescent="0.2">
      <c r="A10" s="56"/>
      <c r="L10" s="56"/>
      <c r="M10" s="35"/>
    </row>
    <row r="11" spans="1:13" x14ac:dyDescent="0.2">
      <c r="A11" s="160" t="s">
        <v>55</v>
      </c>
      <c r="B11" s="160"/>
      <c r="C11" s="160" t="s">
        <v>73</v>
      </c>
      <c r="D11" s="160"/>
      <c r="E11" s="160" t="s">
        <v>91</v>
      </c>
      <c r="F11" s="160"/>
      <c r="G11" s="160" t="s">
        <v>658</v>
      </c>
      <c r="H11" s="160"/>
    </row>
    <row r="12" spans="1:13" x14ac:dyDescent="0.2">
      <c r="A12" s="66" t="s">
        <v>38</v>
      </c>
      <c r="B12" s="66">
        <v>902</v>
      </c>
      <c r="C12" s="66" t="s">
        <v>38</v>
      </c>
      <c r="D12" s="66">
        <v>0</v>
      </c>
      <c r="E12" s="66" t="s">
        <v>38</v>
      </c>
      <c r="F12" s="66">
        <v>0</v>
      </c>
    </row>
    <row r="13" spans="1:13" x14ac:dyDescent="0.2">
      <c r="A13" s="66" t="s">
        <v>111</v>
      </c>
      <c r="B13" s="66">
        <f>SUM(B14:B45)</f>
        <v>3973</v>
      </c>
      <c r="C13" s="66" t="s">
        <v>111</v>
      </c>
      <c r="D13" s="66">
        <f>SUM(D14:D45)</f>
        <v>1376</v>
      </c>
      <c r="E13" s="66" t="s">
        <v>111</v>
      </c>
      <c r="F13" s="66">
        <f>SUM(F14:F45)</f>
        <v>250</v>
      </c>
    </row>
    <row r="14" spans="1:13" x14ac:dyDescent="0.2">
      <c r="A14" s="67" t="s">
        <v>34</v>
      </c>
      <c r="B14" s="48">
        <v>2842</v>
      </c>
      <c r="C14" s="67" t="s">
        <v>35</v>
      </c>
      <c r="D14" s="48">
        <v>980</v>
      </c>
      <c r="E14" s="67" t="s">
        <v>149</v>
      </c>
      <c r="F14" s="48">
        <v>141</v>
      </c>
    </row>
    <row r="15" spans="1:13" x14ac:dyDescent="0.2">
      <c r="A15" s="67" t="s">
        <v>78</v>
      </c>
      <c r="B15" s="48">
        <v>544</v>
      </c>
      <c r="C15" s="67" t="s">
        <v>77</v>
      </c>
      <c r="D15" s="48">
        <v>155</v>
      </c>
      <c r="E15" s="67" t="s">
        <v>150</v>
      </c>
      <c r="F15">
        <v>109</v>
      </c>
    </row>
    <row r="16" spans="1:13" x14ac:dyDescent="0.2">
      <c r="A16" s="67" t="s">
        <v>37</v>
      </c>
      <c r="B16" s="48">
        <v>379</v>
      </c>
      <c r="C16" s="67" t="s">
        <v>109</v>
      </c>
      <c r="D16" s="48">
        <v>83</v>
      </c>
      <c r="E16" s="67"/>
      <c r="F16" s="48"/>
    </row>
    <row r="17" spans="1:10" x14ac:dyDescent="0.2">
      <c r="A17" s="67" t="s">
        <v>99</v>
      </c>
      <c r="B17" s="48">
        <v>93</v>
      </c>
      <c r="C17" s="67" t="s">
        <v>88</v>
      </c>
      <c r="D17" s="48">
        <v>62</v>
      </c>
    </row>
    <row r="18" spans="1:10" x14ac:dyDescent="0.2">
      <c r="A18" s="67" t="s">
        <v>83</v>
      </c>
      <c r="B18" s="48">
        <v>52</v>
      </c>
      <c r="C18" s="67" t="s">
        <v>86</v>
      </c>
      <c r="D18" s="48">
        <v>38</v>
      </c>
      <c r="J18" s="58"/>
    </row>
    <row r="19" spans="1:10" x14ac:dyDescent="0.2">
      <c r="A19" s="67" t="s">
        <v>81</v>
      </c>
      <c r="B19" s="48">
        <v>36</v>
      </c>
      <c r="C19" s="67" t="s">
        <v>87</v>
      </c>
      <c r="D19" s="48">
        <v>34</v>
      </c>
      <c r="J19" s="58"/>
    </row>
    <row r="20" spans="1:10" x14ac:dyDescent="0.2">
      <c r="A20" s="67" t="s">
        <v>80</v>
      </c>
      <c r="B20" s="48">
        <v>27</v>
      </c>
      <c r="C20" s="67" t="s">
        <v>85</v>
      </c>
      <c r="D20" s="48">
        <v>24</v>
      </c>
      <c r="J20" s="58"/>
    </row>
    <row r="21" spans="1:10" x14ac:dyDescent="0.2">
      <c r="J21" s="58"/>
    </row>
    <row r="22" spans="1:10" x14ac:dyDescent="0.2">
      <c r="J22" s="58"/>
    </row>
    <row r="23" spans="1:10" x14ac:dyDescent="0.2">
      <c r="J23" s="58"/>
    </row>
    <row r="26" spans="1:10" x14ac:dyDescent="0.2">
      <c r="I26" s="14"/>
    </row>
    <row r="27" spans="1:10" x14ac:dyDescent="0.2">
      <c r="I27" s="48"/>
    </row>
    <row r="28" spans="1:10" x14ac:dyDescent="0.2">
      <c r="I28" s="48"/>
    </row>
    <row r="29" spans="1:10" x14ac:dyDescent="0.2">
      <c r="I29" s="48"/>
    </row>
    <row r="30" spans="1:10" x14ac:dyDescent="0.2">
      <c r="I30" s="48"/>
    </row>
    <row r="31" spans="1:10" x14ac:dyDescent="0.2">
      <c r="I31" s="48"/>
    </row>
    <row r="32" spans="1:10" x14ac:dyDescent="0.2">
      <c r="I32" s="48"/>
    </row>
    <row r="33" spans="9:9" x14ac:dyDescent="0.2">
      <c r="I33" s="14"/>
    </row>
    <row r="34" spans="9:9" x14ac:dyDescent="0.2">
      <c r="I34" s="14"/>
    </row>
    <row r="35" spans="9:9" x14ac:dyDescent="0.2">
      <c r="I35" s="14"/>
    </row>
    <row r="52" spans="4:6" x14ac:dyDescent="0.2">
      <c r="D52" t="s">
        <v>91</v>
      </c>
      <c r="E52" t="s">
        <v>92</v>
      </c>
      <c r="F52" t="s">
        <v>93</v>
      </c>
    </row>
    <row r="53" spans="4:6" x14ac:dyDescent="0.2">
      <c r="D53" t="s">
        <v>91</v>
      </c>
      <c r="E53" t="s">
        <v>94</v>
      </c>
      <c r="F53" t="s">
        <v>95</v>
      </c>
    </row>
  </sheetData>
  <mergeCells count="4">
    <mergeCell ref="A11:B11"/>
    <mergeCell ref="G11:H11"/>
    <mergeCell ref="C11:D11"/>
    <mergeCell ref="E11:F1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CDA4A-BBBA-436B-AC7C-E709129531D0}">
  <sheetPr codeName="Sheet6"/>
  <dimension ref="B2:B6"/>
  <sheetViews>
    <sheetView zoomScale="160" zoomScaleNormal="160" workbookViewId="0">
      <selection activeCell="F25" sqref="F25"/>
    </sheetView>
  </sheetViews>
  <sheetFormatPr defaultRowHeight="12.75" x14ac:dyDescent="0.2"/>
  <sheetData>
    <row r="2" spans="2:2" x14ac:dyDescent="0.2">
      <c r="B2" s="56" t="s">
        <v>705</v>
      </c>
    </row>
    <row r="3" spans="2:2" x14ac:dyDescent="0.2">
      <c r="B3" s="56" t="s">
        <v>706</v>
      </c>
    </row>
    <row r="4" spans="2:2" x14ac:dyDescent="0.2">
      <c r="B4" s="56" t="s">
        <v>713</v>
      </c>
    </row>
    <row r="5" spans="2:2" x14ac:dyDescent="0.2">
      <c r="B5" s="56" t="s">
        <v>714</v>
      </c>
    </row>
    <row r="6" spans="2:2" x14ac:dyDescent="0.2">
      <c r="B6" s="56" t="s">
        <v>717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51446F-5C53-44FE-A3DF-922702E8C6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Monthly_Review</vt:lpstr>
      <vt:lpstr>Dashboard</vt:lpstr>
      <vt:lpstr>Position</vt:lpstr>
      <vt:lpstr>Portfolio_bk</vt:lpstr>
      <vt:lpstr>Order_History</vt:lpstr>
      <vt:lpstr>Sheet1</vt:lpstr>
      <vt:lpstr>Daily_Snapshot</vt:lpstr>
      <vt:lpstr>Category</vt:lpstr>
      <vt:lpstr>storage</vt:lpstr>
      <vt:lpstr>improve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Thuong Dinh</dc:creator>
  <cp:lastModifiedBy>AD</cp:lastModifiedBy>
  <dcterms:created xsi:type="dcterms:W3CDTF">2021-12-16T23:36:30Z</dcterms:created>
  <dcterms:modified xsi:type="dcterms:W3CDTF">2025-09-30T00:41:30Z</dcterms:modified>
</cp:coreProperties>
</file>