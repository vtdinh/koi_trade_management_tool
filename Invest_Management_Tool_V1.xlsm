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88497200-DC5A-44B0-8DD0-718D14F83F42}" xr6:coauthVersionLast="47" xr6:coauthVersionMax="47" xr10:uidLastSave="{00000000-0000-0000-0000-000000000000}"/>
  <bookViews>
    <workbookView xWindow="-120" yWindow="-120" windowWidth="38640" windowHeight="21120" tabRatio="787" firstSheet="1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</sheets>
  <functionGroups builtInGroupCount="19"/>
  <externalReferences>
    <externalReference r:id="rId10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Position!$A$30:$D$37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1" l="1"/>
  <c r="F8" i="20"/>
  <c r="D8" i="20"/>
  <c r="B8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trong vòng 1 tháng gần nhất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L20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<sst xmlns="http://schemas.openxmlformats.org/spreadsheetml/2006/main" count="1132" uniqueCount="682">
  <si>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</si>
  <si>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</si>
  <si>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</si>
  <si>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</si>
  <si>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</si>
  <si>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</si>
  <si>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</si>
  <si>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</si>
  <si>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</si>
  <si>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</si>
  <si>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</si>
  <si>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</si>
  <si>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</si>
  <si>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</si>
  <si>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</si>
  <si>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</si>
  <si>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</si>
  <si>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</si>
  <si>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</si>
  <si>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</si>
  <si>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</si>
  <si>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</si>
  <si>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</si>
  <si>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</si>
  <si>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</si>
  <si>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</si>
  <si>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</si>
  <si>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</si>
  <si>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</si>
  <si>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</si>
  <si>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</si>
  <si>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</si>
  <si>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</si>
  <si>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</si>
  <si>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</si>
  <si>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</si>
  <si>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</si>
  <si>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</si>
  <si>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</si>
  <si>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</si>
  <si>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</si>
  <si>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</si>
  <si>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FET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</si>
  <si>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</si>
  <si>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</si>
  <si>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</si>
  <si>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</si>
  <si>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</si>
  <si>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</si>
  <si>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</si>
  <si>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</si>
  <si>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</si>
  <si>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</si>
  <si>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</si>
  <si>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</si>
  <si>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</si>
  <si>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</si>
  <si>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</si>
  <si>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</si>
  <si>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</si>
  <si>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</si>
  <si>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</si>
  <si>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</si>
  <si>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</si>
  <si>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</si>
  <si>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</si>
  <si>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</si>
  <si>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</si>
  <si>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</si>
  <si>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</si>
  <si>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</si>
  <si>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</si>
  <si>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</si>
  <si>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</si>
  <si>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</si>
  <si>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</si>
  <si>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</si>
  <si>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</si>
  <si>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</si>
  <si>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</si>
  <si>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</si>
  <si>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</si>
  <si>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</si>
  <si>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</si>
  <si>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</si>
  <si>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</si>
  <si>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</si>
  <si>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</si>
  <si>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</si>
  <si>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</si>
  <si>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</si>
  <si>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</si>
  <si>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</si>
  <si>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</si>
  <si>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</si>
  <si>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</si>
  <si>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</si>
  <si>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</si>
  <si>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</si>
  <si>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</si>
  <si>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</si>
  <si>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</si>
  <si>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</si>
  <si>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</si>
  <si>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</si>
  <si>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</si>
  <si>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</si>
  <si>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</si>
  <si>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</si>
  <si>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</si>
  <si>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</si>
  <si>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</si>
  <si>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</si>
  <si>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</si>
  <si>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</si>
  <si>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</si>
  <si>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</si>
  <si>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</si>
  <si>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</si>
  <si>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</si>
  <si>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</si>
  <si>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</si>
  <si>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</si>
  <si>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</si>
  <si>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</si>
  <si>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</si>
  <si>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</si>
  <si>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</si>
  <si>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</si>
  <si>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</si>
  <si>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</si>
  <si>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</si>
  <si>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</si>
  <si>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</si>
  <si>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</si>
  <si>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</si>
  <si>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</si>
  <si>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</si>
  <si>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</si>
  <si>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</si>
  <si>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</si>
  <si>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</si>
  <si>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</si>
  <si>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</si>
  <si>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</si>
  <si>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</si>
  <si>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</si>
  <si>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</si>
  <si>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</si>
  <si>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</si>
  <si>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</si>
  <si>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</si>
  <si>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</si>
  <si>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</si>
  <si>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</si>
  <si>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</si>
  <si>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</si>
  <si>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</si>
  <si>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</si>
  <si>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</si>
  <si>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</si>
  <si>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</si>
  <si>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</si>
  <si>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</si>
  <si>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</si>
  <si>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</si>
  <si>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</si>
  <si>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</si>
  <si>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</si>
  <si>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</si>
  <si>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</si>
  <si>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</si>
  <si>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</si>
  <si>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</si>
  <si>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</si>
  <si>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</si>
  <si>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</si>
  <si>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</si>
  <si>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</si>
  <si>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</si>
  <si>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</si>
  <si>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</si>
  <si>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</si>
  <si>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</si>
  <si>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</si>
  <si>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</si>
  <si>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</si>
  <si>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</si>
  <si>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</si>
  <si>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</si>
  <si>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</si>
  <si>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</si>
  <si>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</si>
  <si>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</si>
  <si>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</si>
  <si>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</si>
  <si>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</si>
  <si>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</si>
  <si>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</si>
  <si>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</si>
  <si>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</si>
  <si>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</si>
  <si>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</si>
  <si>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</si>
  <si>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</si>
  <si>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</si>
  <si>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</si>
  <si>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</si>
  <si>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</si>
  <si>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</si>
  <si>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</si>
  <si>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</si>
  <si>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</si>
  <si>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</si>
  <si>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</si>
  <si>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</si>
  <si>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</si>
  <si>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</si>
  <si>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</si>
  <si>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</si>
  <si>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</si>
  <si>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</si>
  <si>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</si>
  <si>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</si>
  <si>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</si>
  <si>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</si>
  <si>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</si>
  <si>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</si>
  <si>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</si>
  <si>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</si>
  <si>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</si>
  <si>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</si>
  <si>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</si>
  <si>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</si>
  <si>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</si>
  <si>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</si>
  <si>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</si>
  <si>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</si>
  <si>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</si>
  <si>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</si>
  <si>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</si>
  <si>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</si>
  <si>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</si>
  <si>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</si>
  <si>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</si>
  <si>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</si>
  <si>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</si>
  <si>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</si>
  <si>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</si>
  <si>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</si>
  <si>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</si>
  <si>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</si>
  <si>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</si>
  <si>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</si>
  <si>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</si>
  <si>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</si>
  <si>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</si>
  <si>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</si>
  <si>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</si>
  <si>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</si>
  <si>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</si>
  <si>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</si>
  <si>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</si>
  <si>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</si>
  <si>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</si>
  <si>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</si>
  <si>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</si>
  <si>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</si>
  <si>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</si>
  <si>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</si>
  <si>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</si>
  <si>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</si>
  <si>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</si>
  <si>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</si>
  <si>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</si>
  <si>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</si>
  <si>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</si>
  <si>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</si>
  <si>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</si>
  <si>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</si>
  <si>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</si>
  <si>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</si>
  <si>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</si>
  <si>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</si>
  <si>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</si>
  <si>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</si>
  <si>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</si>
  <si>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</si>
  <si>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</si>
  <si>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</si>
  <si>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</si>
  <si>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</si>
  <si>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</si>
  <si>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</si>
  <si>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</si>
  <si>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</si>
  <si>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</si>
  <si>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</si>
  <si>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</si>
  <si>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</si>
  <si>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</si>
  <si>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</si>
  <si>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</si>
  <si>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</si>
  <si>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</si>
  <si>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</si>
  <si>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</si>
  <si>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</si>
  <si>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</si>
  <si>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</si>
  <si>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</si>
  <si>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</si>
  <si>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</si>
  <si>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</si>
  <si>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</si>
  <si>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</si>
  <si>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</si>
  <si>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</si>
  <si>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</si>
  <si>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</si>
  <si>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</si>
  <si>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</si>
  <si>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</si>
  <si>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</si>
  <si>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</si>
  <si>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</si>
  <si>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</si>
  <si>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</si>
  <si>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</si>
  <si>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</si>
  <si>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</si>
  <si>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</si>
  <si>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</si>
  <si>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</si>
  <si>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</si>
  <si>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</si>
  <si>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</si>
  <si>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</si>
  <si>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</si>
  <si>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</si>
  <si>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</si>
  <si>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</si>
  <si>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</si>
  <si>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</si>
  <si>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</si>
  <si>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</si>
  <si>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</si>
  <si>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</si>
  <si>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</si>
  <si>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</si>
  <si>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</si>
  <si>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</si>
  <si>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</si>
  <si>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</si>
  <si>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</si>
  <si>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</si>
  <si>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</si>
  <si>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</si>
  <si>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</si>
  <si>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</si>
  <si>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</si>
  <si>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</si>
  <si>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</si>
  <si>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</si>
  <si>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</si>
  <si>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</si>
  <si>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</si>
  <si>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</si>
  <si>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</si>
  <si>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</si>
  <si>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</si>
  <si>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</si>
  <si>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</si>
  <si>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</si>
  <si>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</si>
  <si>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</si>
  <si>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</si>
  <si>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</si>
  <si>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</si>
  <si>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</si>
  <si>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</si>
  <si>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</si>
  <si>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</si>
  <si>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</si>
  <si>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</si>
  <si>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</si>
  <si>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</si>
  <si>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</si>
  <si>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</si>
  <si>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</si>
  <si>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</si>
  <si>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</si>
  <si>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</si>
  <si>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</si>
  <si>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</si>
  <si>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</si>
  <si>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</si>
  <si>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</si>
  <si>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</si>
  <si>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</si>
  <si>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</si>
  <si>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</si>
  <si>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</si>
  <si>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</si>
  <si>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</si>
  <si>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</si>
  <si>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</si>
  <si>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</si>
  <si>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</si>
  <si>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</si>
  <si>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</si>
  <si>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</si>
  <si>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</si>
  <si>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</si>
  <si>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</si>
  <si>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</si>
  <si>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</si>
  <si>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</si>
  <si>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</si>
  <si>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</si>
  <si>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</si>
  <si>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</si>
  <si>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</si>
  <si>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</si>
  <si>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</si>
  <si>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</si>
  <si>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</si>
  <si>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</si>
  <si>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</si>
  <si>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</si>
  <si>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</si>
  <si>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</si>
  <si>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</si>
  <si>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</si>
  <si>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</si>
  <si>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</si>
  <si>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</si>
  <si>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</si>
  <si>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</si>
  <si>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</si>
  <si>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</si>
  <si>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</si>
  <si>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</si>
  <si>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</si>
  <si>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</si>
  <si>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</si>
  <si>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</si>
  <si>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</si>
  <si>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</si>
  <si>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</si>
  <si>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</si>
  <si>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</si>
  <si>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</si>
  <si>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</si>
  <si>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</si>
  <si>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</si>
  <si>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</si>
  <si>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</si>
  <si>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</si>
  <si>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</si>
  <si>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</si>
  <si>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</si>
  <si>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</si>
  <si>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</si>
  <si>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</si>
  <si>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</si>
  <si>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</si>
  <si>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</si>
  <si>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</si>
  <si>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</si>
  <si>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</si>
  <si>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</si>
  <si>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</si>
  <si>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</si>
  <si>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</si>
  <si>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</si>
  <si>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</si>
  <si>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</si>
  <si>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</si>
  <si>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</si>
  <si>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</si>
  <si>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</si>
  <si>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</si>
  <si>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</si>
  <si>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</si>
  <si>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</si>
  <si>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</si>
  <si>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</si>
  <si>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</si>
  <si>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</si>
  <si>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</si>
  <si>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</si>
  <si>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</si>
  <si>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</si>
  <si>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</si>
  <si>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</si>
  <si>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</si>
  <si>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</si>
  <si>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</si>
  <si>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</si>
  <si>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</si>
  <si>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</si>
  <si>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</si>
  <si>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</si>
  <si>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</si>
  <si>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</si>
  <si>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</si>
  <si>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</si>
  <si>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</si>
  <si>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</si>
  <si>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</si>
  <si>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</si>
  <si>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</si>
  <si>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</si>
  <si>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</si>
  <si>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</si>
  <si>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</si>
  <si>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</si>
  <si>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</si>
  <si>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</si>
  <si>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</si>
  <si>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</si>
  <si>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</si>
  <si>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</si>
  <si>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</si>
  <si>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</si>
  <si>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</si>
  <si>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</si>
  <si>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</si>
  <si>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</si>
  <si>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</si>
  <si>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</si>
  <si>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</si>
  <si>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</si>
  <si>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</si>
  <si>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</si>
  <si>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</si>
  <si>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</si>
  <si>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</si>
  <si>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</si>
  <si>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</si>
  <si>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</si>
  <si>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</si>
  <si>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</si>
  <si>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</si>
  <si>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</si>
  <si>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</si>
  <si>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</si>
  <si>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</si>
  <si>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</si>
  <si>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</si>
  <si>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</si>
  <si>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</si>
  <si>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</si>
  <si>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</si>
  <si>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</si>
  <si>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</si>
  <si>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</si>
  <si>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</si>
  <si>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</si>
  <si>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</si>
  <si>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</si>
  <si>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</si>
  <si>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</si>
  <si>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</si>
  <si>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</si>
  <si>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</si>
  <si>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</si>
  <si>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</si>
  <si>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</si>
  <si>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</si>
  <si>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</si>
  <si>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</si>
  <si>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</si>
  <si>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</si>
  <si>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</si>
  <si>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</si>
  <si>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</si>
  <si>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</si>
  <si>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</si>
  <si>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</si>
  <si>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</si>
  <si>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</si>
  <si>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</si>
  <si>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</si>
  <si>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</si>
  <si>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</si>
  <si>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</si>
  <si>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</si>
  <si>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</si>
  <si>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</si>
  <si>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</si>
  <si>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</si>
  <si>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</si>
  <si>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</si>
  <si>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</si>
  <si>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</si>
  <si>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</si>
  <si>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</si>
  <si>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</si>
  <si>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</si>
  <si>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</si>
  <si>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</si>
  <si>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</si>
  <si>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</si>
  <si>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</si>
  <si>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</si>
  <si>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</si>
  <si>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</si>
  <si>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</si>
  <si>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</si>
  <si>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</si>
  <si>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</si>
  <si>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</si>
  <si>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</si>
  <si>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</si>
  <si>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</si>
  <si>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</si>
  <si>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</si>
  <si>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</si>
  <si>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</si>
  <si>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</si>
  <si>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</si>
  <si>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</si>
  <si>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</si>
  <si>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</si>
  <si>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</si>
  <si>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</si>
  <si>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</si>
  <si>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</si>
  <si>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</si>
  <si>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</si>
  <si>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</si>
  <si>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</si>
  <si>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</si>
  <si>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</si>
  <si>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</si>
  <si>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</si>
  <si>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</si>
  <si>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</si>
  <si>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</si>
  <si>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</si>
  <si>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</si>
  <si>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</si>
  <si>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</si>
  <si>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</si>
  <si>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</si>
  <si>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</si>
  <si>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</si>
  <si>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</si>
  <si>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</si>
  <si>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</si>
  <si>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</si>
  <si>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</si>
  <si>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ETH: 2,608; SOL: 878; BNB: 516; ADA: 354; WLD: 181; MNT: 120; HYPE: 110; SUI: 87; ONDO: 72; LINK: 58; VET: 50; UNI: 36; ALGO: 34; INJ: 33; NEAR: 26; AR: 23</t>
  </si>
  <si>
    <t>Choose date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</si>
  <si>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</si>
  <si>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</si>
  <si>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</si>
  <si>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</si>
  <si>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</si>
  <si>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</si>
  <si>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</si>
  <si>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</si>
  <si>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</si>
  <si>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</si>
  <si>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</si>
  <si>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</si>
  <si>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</si>
  <si>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</si>
  <si>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</si>
  <si>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</si>
  <si>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</si>
  <si>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</si>
  <si>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ETH: 2,840; SOL: 975; BNB: 542; ADA: 374; WLD: 155; MNT: 138; HYPE: 108; SUI: 93; ONDO: 84; LINK: 63; VET: 52; UNI: 39; ALGO: 36; INJ: 34; NEAR: 28; AR: 25</t>
  </si>
  <si>
    <t>ETH: 2,632; SOL: 906; BNB: 524; ADA: 362; WLD: 175; MNT: 138; HYPE: 108; SUI: 91; ONDO: 78; LINK: 59; VET: 50; UNI: 37; ALGO: 35; INJ: 33; NEAR: 27; AR: 24</t>
  </si>
  <si>
    <t>ETH: 2,698; SOL: 925; BNB: 529; ADA: 365; WLD: 155; MNT: 138; HYPE: 108; SUI: 92; ONDO: 82; LINK: 61; VET: 51; UNI: 38; ALGO: 36; INJ: 34; NEAR: 27; AR: 24</t>
  </si>
  <si>
    <t>ETH: 2,856; SOL: 984; BNB: 545; ADA: 382; WLD: 155; MNT: 138; HYPE: 108; SUI: 94; ONDO: 84; LINK: 63; VET: 52; UNI: 39; ALGO: 37; INJ: 34; NEAR: 28; AR: 25</t>
  </si>
  <si>
    <t>Limit</t>
  </si>
  <si>
    <t>%NAV</t>
  </si>
  <si>
    <t>Max. NAV 3M</t>
  </si>
  <si>
    <t>Min. NAV 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</si>
</sst>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8" formatCode="dd\-mmm\-yy"/>
    <numFmt numFmtId="179" formatCode="[$-409]d\-m\-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3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17" fillId="0" borderId="6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3" fontId="17" fillId="0" borderId="0" xfId="0" applyNumberFormat="1" applyFont="1"/>
    <xf numFmtId="0" fontId="0" fillId="0" borderId="0" xfId="0" applyNumberFormat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0" fillId="0" borderId="0" xfId="0" applyNumberFormat="1"/>
    <xf numFmtId="0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/>
    <xf numFmtId="0" fontId="11" fillId="0" borderId="0" xfId="0" applyFont="1" applyAlignment="1">
      <alignment horizontal="center"/>
    </xf>
    <xf numFmtId="0" fontId="0" fillId="0" borderId="1" xfId="0" applyFill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178" fontId="0" fillId="0" borderId="0" xfId="0" applyNumberFormat="1"/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6" fontId="17" fillId="0" borderId="1" xfId="0" applyNumberFormat="1" applyFont="1" applyBorder="1" applyAlignment="1">
      <alignment horizontal="right" vertical="center"/>
    </xf>
    <xf numFmtId="166" fontId="17" fillId="0" borderId="0" xfId="0" applyNumberFormat="1" applyFont="1"/>
    <xf numFmtId="3" fontId="11" fillId="0" borderId="0" xfId="0" applyNumberFormat="1" applyFont="1"/>
    <xf numFmtId="0" fontId="24" fillId="0" borderId="0" xfId="0" applyFont="1"/>
    <xf numFmtId="179" fontId="0" fillId="0" borderId="0" xfId="0" applyNumberFormat="1"/>
    <xf numFmtId="3" fontId="2" fillId="5" borderId="0" xfId="0" applyNumberFormat="1" applyFont="1" applyFill="1"/>
    <xf numFmtId="3" fontId="22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7" borderId="1" xfId="0" applyNumberFormat="1" applyFont="1" applyFill="1" applyBorder="1" applyAlignment="1">
      <alignment horizontal="left"/>
    </xf>
    <xf numFmtId="0" fontId="11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66" fontId="0" fillId="0" borderId="1" xfId="0" applyNumberFormat="1" applyBorder="1" applyAlignment="1">
      <alignment horizontal="right" vertical="center"/>
    </xf>
    <xf numFmtId="166" fontId="0" fillId="0" borderId="0" xfId="0" applyNumberFormat="1"/>
    <xf numFmtId="0" fontId="0" fillId="0" borderId="5" xfId="0" applyBorder="1" applyAlignment="1">
      <alignment horizontal="right" vertical="center"/>
    </xf>
    <xf numFmtId="167" fontId="2" fillId="0" borderId="0" xfId="0" applyNumberFormat="1" applyFont="1" applyBorder="1" applyAlignment="1">
      <alignment horizontal="right" vertical="center"/>
    </xf>
    <xf numFmtId="178" fontId="0" fillId="0" borderId="5" xfId="0" applyNumberFormat="1" applyBorder="1" applyAlignment="1">
      <alignment horizontal="right" vertical="center"/>
    </xf>
    <xf numFmtId="178" fontId="2" fillId="0" borderId="0" xfId="0" applyNumberFormat="1" applyFont="1" applyBorder="1" applyAlignment="1">
      <alignment horizontal="right" vertical="center"/>
    </xf>
    <xf numFmtId="178" fontId="2" fillId="0" borderId="0" xfId="0" applyNumberFormat="1" applyFont="1" applyBorder="1" applyAlignment="1">
      <alignment horizontal="right" vertical="center" wrapText="1"/>
    </xf>
    <xf numFmtId="3" fontId="0" fillId="0" borderId="0" xfId="0" applyNumberFormat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4" fontId="0" fillId="0" borderId="1" xfId="0" applyNumberFormat="1" applyBorder="1"/>
    <xf numFmtId="4" fontId="2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0" fontId="0" fillId="0" borderId="0" xfId="0" applyNumberFormat="1" applyBorder="1" applyAlignment="1">
      <alignment horizontal="right" vertical="center"/>
    </xf>
    <xf numFmtId="3" fontId="2" fillId="0" borderId="0" xfId="0" applyNumberFormat="1" applyFont="1" applyBorder="1" applyAlignment="1">
      <alignment horizontal="right" vertical="center"/>
    </xf>
    <xf numFmtId="3" fontId="0" fillId="0" borderId="5" xfId="0" applyNumberFormat="1" applyBorder="1" applyAlignment="1">
      <alignment horizontal="right" vertical="center"/>
    </xf>
    <xf numFmtId="166" fontId="2" fillId="0" borderId="0" xfId="0" applyNumberFormat="1" applyFont="1" applyBorder="1" applyAlignment="1">
      <alignment horizontal="right" vertical="center"/>
    </xf>
    <xf numFmtId="166" fontId="0" fillId="0" borderId="5" xfId="0" applyNumberFormat="1" applyBorder="1" applyAlignment="1">
      <alignment horizontal="right" vertical="center"/>
    </xf>
    <xf numFmtId="166" fontId="0" fillId="0" borderId="0" xfId="0" applyNumberFormat="1" applyBorder="1" applyAlignment="1">
      <alignment horizontal="right" vertical="center"/>
    </xf>
    <xf numFmtId="3" fontId="17" fillId="0" borderId="5" xfId="0" applyNumberFormat="1" applyFont="1" applyBorder="1" applyAlignment="1">
      <alignment horizontal="right" vertical="center"/>
    </xf>
    <xf numFmtId="3" fontId="17" fillId="0" borderId="0" xfId="0" applyNumberFormat="1" applyFont="1" applyBorder="1" applyAlignment="1">
      <alignment horizontal="right" vertical="center"/>
    </xf>
    <xf numFmtId="166" fontId="20" fillId="0" borderId="0" xfId="0" applyNumberFormat="1" applyFont="1" applyBorder="1" applyAlignment="1">
      <alignment horizontal="right" vertical="center"/>
    </xf>
    <xf numFmtId="166" fontId="17" fillId="0" borderId="0" xfId="0" applyNumberFormat="1" applyFont="1" applyBorder="1" applyAlignment="1">
      <alignment horizontal="right" vertical="center"/>
    </xf>
    <xf numFmtId="178" fontId="0" fillId="0" borderId="0" xfId="0" applyNumberFormat="1" applyBorder="1" applyAlignment="1">
      <alignment horizontal="right" vertical="center"/>
    </xf>
    <xf numFmtId="3" fontId="0" fillId="0" borderId="0" xfId="0" applyNumberFormat="1" applyBorder="1"/>
    <xf numFmtId="4" fontId="2" fillId="0" borderId="1" xfId="0" applyNumberFormat="1" applyFont="1" applyBorder="1" applyAlignment="1">
      <alignment horizontal="right" vertical="center"/>
    </xf>
    <xf numFmtId="4" fontId="7" fillId="0" borderId="1" xfId="0" applyNumberFormat="1" applyFont="1" applyBorder="1"/>
    <xf numFmtId="4" fontId="0" fillId="0" borderId="0" xfId="0" applyNumberFormat="1" applyBorder="1"/>
    <xf numFmtId="178" fontId="7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172" fontId="2" fillId="0" borderId="0" xfId="0" applyNumberFormat="1" applyFont="1" applyBorder="1" applyAlignment="1">
      <alignment horizontal="right" vertical="center"/>
    </xf>
    <xf numFmtId="172" fontId="7" fillId="0" borderId="0" xfId="0" applyNumberFormat="1" applyFont="1" applyBorder="1" applyAlignment="1">
      <alignment horizontal="right" vertical="center"/>
    </xf>
    <xf numFmtId="178" fontId="0" fillId="0" borderId="0" xfId="0" applyNumberFormat="1" applyBorder="1"/>
    <xf numFmtId="0" fontId="0" fillId="0" borderId="0" xfId="0" applyNumberFormat="1" applyBorder="1"/>
    <xf numFmtId="166" fontId="0" fillId="0" borderId="0" xfId="0" applyNumberFormat="1" applyBorder="1"/>
    <xf numFmtId="3" fontId="20" fillId="0" borderId="0" xfId="0" applyNumberFormat="1" applyFont="1" applyBorder="1"/>
    <xf numFmtId="166" fontId="20" fillId="0" borderId="0" xfId="0" applyNumberFormat="1" applyFont="1" applyBorder="1"/>
    <xf numFmtId="3" fontId="17" fillId="0" borderId="0" xfId="0" applyNumberFormat="1" applyFont="1" applyBorder="1"/>
    <xf numFmtId="166" fontId="17" fillId="0" borderId="0" xfId="0" applyNumberFormat="1" applyFont="1" applyBorder="1"/>
    <xf numFmtId="178" fontId="7" fillId="0" borderId="1" xfId="0" applyNumberFormat="1" applyFont="1" applyBorder="1" applyAlignment="1">
      <alignment horizontal="right" vertical="center"/>
    </xf>
    <xf numFmtId="4" fontId="7" fillId="0" borderId="6" xfId="0" applyNumberFormat="1" applyFont="1" applyBorder="1" applyAlignment="1">
      <alignment horizontal="right" vertical="center"/>
    </xf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902</c:v>
              </c:pt>
              <c:pt idx="1">
                <c:v>5203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</c:strLit>
          </c:cat>
          <c:val>
            <c:numLit>
              <c:formatCode>General</c:formatCode>
              <c:ptCount val="5"/>
              <c:pt idx="0">
                <c:v>2608</c:v>
              </c:pt>
              <c:pt idx="1">
                <c:v>516</c:v>
              </c:pt>
              <c:pt idx="2">
                <c:v>354</c:v>
              </c:pt>
              <c:pt idx="3">
                <c:v>87</c:v>
              </c:pt>
              <c:pt idx="4">
                <c:v>878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LINK</c:v>
              </c:pt>
              <c:pt idx="6">
                <c:v>UNI</c:v>
              </c:pt>
              <c:pt idx="7">
                <c:v>INJ</c:v>
              </c:pt>
              <c:pt idx="8">
                <c:v>AR</c:v>
              </c:pt>
              <c:pt idx="9">
                <c:v>MNT</c:v>
              </c:pt>
              <c:pt idx="10">
                <c:v>HYPE</c:v>
              </c:pt>
            </c:strLit>
          </c:cat>
          <c:val>
            <c:numLit>
              <c:formatCode>General</c:formatCode>
              <c:ptCount val="11"/>
              <c:pt idx="0">
                <c:v>50</c:v>
              </c:pt>
              <c:pt idx="1">
                <c:v>34</c:v>
              </c:pt>
              <c:pt idx="2">
                <c:v>26</c:v>
              </c:pt>
              <c:pt idx="3">
                <c:v>181</c:v>
              </c:pt>
              <c:pt idx="4">
                <c:v>72</c:v>
              </c:pt>
              <c:pt idx="5">
                <c:v>58</c:v>
              </c:pt>
              <c:pt idx="6">
                <c:v>36</c:v>
              </c:pt>
              <c:pt idx="7">
                <c:v>33</c:v>
              </c:pt>
              <c:pt idx="8">
                <c:v>23</c:v>
              </c:pt>
              <c:pt idx="9">
                <c:v>138</c:v>
              </c:pt>
              <c:pt idx="10">
                <c:v>108</c:v>
              </c:pt>
            </c:numLit>
          </c:val>
          <c:extLst>
            <c:ext xmlns:c16="http://schemas.microsoft.com/office/drawing/2014/chart" uri="{C3380CC4-5D6E-409C-BE32-E72D297353CC}">
              <c16:uniqueId val="{00000000-238F-44E8-B85E-1D226D91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64-F138-43F1-BDAB-2B198729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4443</c:v>
              </c:pt>
              <c:pt idx="2">
                <c:v>759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3"/>
              <c:pt idx="0">
                <c:v>45817</c:v>
              </c:pt>
              <c:pt idx="1">
                <c:v>45818</c:v>
              </c:pt>
              <c:pt idx="2">
                <c:v>45819</c:v>
              </c:pt>
              <c:pt idx="3">
                <c:v>45820</c:v>
              </c:pt>
              <c:pt idx="4">
                <c:v>45821</c:v>
              </c:pt>
              <c:pt idx="5">
                <c:v>45822</c:v>
              </c:pt>
              <c:pt idx="6">
                <c:v>45823</c:v>
              </c:pt>
              <c:pt idx="7">
                <c:v>45824</c:v>
              </c:pt>
              <c:pt idx="8">
                <c:v>45825</c:v>
              </c:pt>
              <c:pt idx="9">
                <c:v>45826</c:v>
              </c:pt>
              <c:pt idx="10">
                <c:v>45827</c:v>
              </c:pt>
              <c:pt idx="11">
                <c:v>45828</c:v>
              </c:pt>
              <c:pt idx="12">
                <c:v>45829</c:v>
              </c:pt>
              <c:pt idx="13">
                <c:v>45830</c:v>
              </c:pt>
              <c:pt idx="14">
                <c:v>45831</c:v>
              </c:pt>
              <c:pt idx="15">
                <c:v>45832</c:v>
              </c:pt>
              <c:pt idx="16">
                <c:v>45833</c:v>
              </c:pt>
              <c:pt idx="17">
                <c:v>45834</c:v>
              </c:pt>
              <c:pt idx="18">
                <c:v>45835</c:v>
              </c:pt>
              <c:pt idx="19">
                <c:v>45836</c:v>
              </c:pt>
              <c:pt idx="20">
                <c:v>45837</c:v>
              </c:pt>
              <c:pt idx="21">
                <c:v>45838</c:v>
              </c:pt>
              <c:pt idx="22">
                <c:v>45839</c:v>
              </c:pt>
              <c:pt idx="23">
                <c:v>45840</c:v>
              </c:pt>
              <c:pt idx="24">
                <c:v>45841</c:v>
              </c:pt>
              <c:pt idx="25">
                <c:v>45842</c:v>
              </c:pt>
              <c:pt idx="26">
                <c:v>45843</c:v>
              </c:pt>
              <c:pt idx="27">
                <c:v>45844</c:v>
              </c:pt>
              <c:pt idx="28">
                <c:v>45845</c:v>
              </c:pt>
              <c:pt idx="29">
                <c:v>45846</c:v>
              </c:pt>
              <c:pt idx="30">
                <c:v>45847</c:v>
              </c:pt>
              <c:pt idx="31">
                <c:v>45848</c:v>
              </c:pt>
              <c:pt idx="32">
                <c:v>45849</c:v>
              </c:pt>
              <c:pt idx="33">
                <c:v>45850</c:v>
              </c:pt>
              <c:pt idx="34">
                <c:v>45851</c:v>
              </c:pt>
              <c:pt idx="35">
                <c:v>45852</c:v>
              </c:pt>
              <c:pt idx="36">
                <c:v>45853</c:v>
              </c:pt>
              <c:pt idx="37">
                <c:v>45854</c:v>
              </c:pt>
              <c:pt idx="38">
                <c:v>45855</c:v>
              </c:pt>
              <c:pt idx="39">
                <c:v>45856</c:v>
              </c:pt>
              <c:pt idx="40">
                <c:v>45857</c:v>
              </c:pt>
              <c:pt idx="41">
                <c:v>45858</c:v>
              </c:pt>
              <c:pt idx="42">
                <c:v>45859</c:v>
              </c:pt>
              <c:pt idx="43">
                <c:v>45860</c:v>
              </c:pt>
              <c:pt idx="44">
                <c:v>45861</c:v>
              </c:pt>
              <c:pt idx="45">
                <c:v>45862</c:v>
              </c:pt>
              <c:pt idx="46">
                <c:v>45863</c:v>
              </c:pt>
              <c:pt idx="47">
                <c:v>45864</c:v>
              </c:pt>
              <c:pt idx="48">
                <c:v>45865</c:v>
              </c:pt>
              <c:pt idx="49">
                <c:v>45866</c:v>
              </c:pt>
              <c:pt idx="50">
                <c:v>45867</c:v>
              </c:pt>
              <c:pt idx="51">
                <c:v>45868</c:v>
              </c:pt>
              <c:pt idx="52">
                <c:v>45869</c:v>
              </c:pt>
              <c:pt idx="53">
                <c:v>45870</c:v>
              </c:pt>
              <c:pt idx="54">
                <c:v>45871</c:v>
              </c:pt>
              <c:pt idx="55">
                <c:v>45872</c:v>
              </c:pt>
              <c:pt idx="56">
                <c:v>45873</c:v>
              </c:pt>
              <c:pt idx="57">
                <c:v>45874</c:v>
              </c:pt>
              <c:pt idx="58">
                <c:v>45875</c:v>
              </c:pt>
              <c:pt idx="59">
                <c:v>45876</c:v>
              </c:pt>
              <c:pt idx="60">
                <c:v>45877</c:v>
              </c:pt>
              <c:pt idx="61">
                <c:v>45878</c:v>
              </c:pt>
              <c:pt idx="62">
                <c:v>45879</c:v>
              </c:pt>
              <c:pt idx="63">
                <c:v>45880</c:v>
              </c:pt>
              <c:pt idx="64">
                <c:v>45881</c:v>
              </c:pt>
              <c:pt idx="65">
                <c:v>45882</c:v>
              </c:pt>
              <c:pt idx="66">
                <c:v>45883</c:v>
              </c:pt>
              <c:pt idx="67">
                <c:v>45884</c:v>
              </c:pt>
              <c:pt idx="68">
                <c:v>45885</c:v>
              </c:pt>
              <c:pt idx="69">
                <c:v>45886</c:v>
              </c:pt>
              <c:pt idx="70">
                <c:v>45887</c:v>
              </c:pt>
              <c:pt idx="71">
                <c:v>45888</c:v>
              </c:pt>
              <c:pt idx="72">
                <c:v>45889</c:v>
              </c:pt>
              <c:pt idx="73">
                <c:v>45890</c:v>
              </c:pt>
              <c:pt idx="74">
                <c:v>45891</c:v>
              </c:pt>
              <c:pt idx="75">
                <c:v>45892</c:v>
              </c:pt>
              <c:pt idx="76">
                <c:v>45893</c:v>
              </c:pt>
              <c:pt idx="77">
                <c:v>45894</c:v>
              </c:pt>
              <c:pt idx="78">
                <c:v>45895</c:v>
              </c:pt>
              <c:pt idx="79">
                <c:v>45896</c:v>
              </c:pt>
              <c:pt idx="80">
                <c:v>45897</c:v>
              </c:pt>
              <c:pt idx="81">
                <c:v>45898</c:v>
              </c:pt>
              <c:pt idx="82">
                <c:v>45899</c:v>
              </c:pt>
              <c:pt idx="83">
                <c:v>45900</c:v>
              </c:pt>
              <c:pt idx="84">
                <c:v>45901</c:v>
              </c:pt>
              <c:pt idx="85">
                <c:v>45902</c:v>
              </c:pt>
              <c:pt idx="86">
                <c:v>45903</c:v>
              </c:pt>
              <c:pt idx="87">
                <c:v>45904</c:v>
              </c:pt>
              <c:pt idx="88">
                <c:v>45905</c:v>
              </c:pt>
              <c:pt idx="89">
                <c:v>45906</c:v>
              </c:pt>
              <c:pt idx="90">
                <c:v>45907</c:v>
              </c:pt>
              <c:pt idx="91">
                <c:v>45908</c:v>
              </c:pt>
              <c:pt idx="92">
                <c:v>45909</c:v>
              </c:pt>
            </c:numLit>
          </c:cat>
          <c:val>
            <c:numLit>
              <c:formatCode>General</c:formatCode>
              <c:ptCount val="93"/>
              <c:pt idx="0">
                <c:v>5358</c:v>
              </c:pt>
              <c:pt idx="1">
                <c:v>5434</c:v>
              </c:pt>
              <c:pt idx="2">
                <c:v>5409</c:v>
              </c:pt>
              <c:pt idx="3">
                <c:v>5337</c:v>
              </c:pt>
              <c:pt idx="4">
                <c:v>5302</c:v>
              </c:pt>
              <c:pt idx="5">
                <c:v>5275</c:v>
              </c:pt>
              <c:pt idx="6">
                <c:v>5284</c:v>
              </c:pt>
              <c:pt idx="7">
                <c:v>5282</c:v>
              </c:pt>
              <c:pt idx="8">
                <c:v>5263</c:v>
              </c:pt>
              <c:pt idx="9">
                <c:v>5271</c:v>
              </c:pt>
              <c:pt idx="10">
                <c:v>5269</c:v>
              </c:pt>
              <c:pt idx="11">
                <c:v>5205</c:v>
              </c:pt>
              <c:pt idx="12">
                <c:v>5143</c:v>
              </c:pt>
              <c:pt idx="13">
                <c:v>5105</c:v>
              </c:pt>
              <c:pt idx="14">
                <c:v>5208</c:v>
              </c:pt>
              <c:pt idx="15">
                <c:v>5229</c:v>
              </c:pt>
              <c:pt idx="16">
                <c:v>5212</c:v>
              </c:pt>
              <c:pt idx="17">
                <c:v>5210</c:v>
              </c:pt>
              <c:pt idx="18">
                <c:v>4915</c:v>
              </c:pt>
              <c:pt idx="19">
                <c:v>4921</c:v>
              </c:pt>
              <c:pt idx="20">
                <c:v>4957</c:v>
              </c:pt>
              <c:pt idx="21">
                <c:v>4949</c:v>
              </c:pt>
              <c:pt idx="22">
                <c:v>4904</c:v>
              </c:pt>
              <c:pt idx="23">
                <c:v>4997</c:v>
              </c:pt>
              <c:pt idx="24">
                <c:v>5008</c:v>
              </c:pt>
              <c:pt idx="25">
                <c:v>4962</c:v>
              </c:pt>
              <c:pt idx="26">
                <c:v>4967</c:v>
              </c:pt>
              <c:pt idx="27">
                <c:v>4997</c:v>
              </c:pt>
              <c:pt idx="28">
                <c:v>4981</c:v>
              </c:pt>
              <c:pt idx="29">
                <c:v>5022</c:v>
              </c:pt>
              <c:pt idx="30">
                <c:v>5108</c:v>
              </c:pt>
              <c:pt idx="31">
                <c:v>5210</c:v>
              </c:pt>
              <c:pt idx="32">
                <c:v>5213</c:v>
              </c:pt>
              <c:pt idx="33">
                <c:v>5205</c:v>
              </c:pt>
              <c:pt idx="34">
                <c:v>5221</c:v>
              </c:pt>
              <c:pt idx="35">
                <c:v>5244</c:v>
              </c:pt>
              <c:pt idx="36">
                <c:v>5314</c:v>
              </c:pt>
              <c:pt idx="37">
                <c:v>5444</c:v>
              </c:pt>
              <c:pt idx="38">
                <c:v>5503</c:v>
              </c:pt>
              <c:pt idx="39">
                <c:v>5542</c:v>
              </c:pt>
              <c:pt idx="40">
                <c:v>5567</c:v>
              </c:pt>
              <c:pt idx="41">
                <c:v>5659</c:v>
              </c:pt>
              <c:pt idx="42">
                <c:v>5663</c:v>
              </c:pt>
              <c:pt idx="43">
                <c:v>5654</c:v>
              </c:pt>
              <c:pt idx="44">
                <c:v>5588</c:v>
              </c:pt>
              <c:pt idx="45">
                <c:v>5632</c:v>
              </c:pt>
              <c:pt idx="46">
                <c:v>5642</c:v>
              </c:pt>
              <c:pt idx="47">
                <c:v>5651</c:v>
              </c:pt>
              <c:pt idx="48">
                <c:v>5724</c:v>
              </c:pt>
              <c:pt idx="49">
                <c:v>5683</c:v>
              </c:pt>
              <c:pt idx="50">
                <c:v>5680</c:v>
              </c:pt>
              <c:pt idx="51">
                <c:v>5689</c:v>
              </c:pt>
              <c:pt idx="52">
                <c:v>5627</c:v>
              </c:pt>
              <c:pt idx="53">
                <c:v>5120</c:v>
              </c:pt>
              <c:pt idx="54">
                <c:v>5018</c:v>
              </c:pt>
              <c:pt idx="55">
                <c:v>5131</c:v>
              </c:pt>
              <c:pt idx="56">
                <c:v>5328</c:v>
              </c:pt>
              <c:pt idx="57">
                <c:v>5204</c:v>
              </c:pt>
              <c:pt idx="58">
                <c:v>5284</c:v>
              </c:pt>
              <c:pt idx="59">
                <c:v>5506</c:v>
              </c:pt>
              <c:pt idx="60">
                <c:v>5582</c:v>
              </c:pt>
              <c:pt idx="61">
                <c:v>5761</c:v>
              </c:pt>
              <c:pt idx="62">
                <c:v>5768</c:v>
              </c:pt>
              <c:pt idx="63">
                <c:v>5681</c:v>
              </c:pt>
              <c:pt idx="64">
                <c:v>6035</c:v>
              </c:pt>
              <c:pt idx="65">
                <c:v>6222</c:v>
              </c:pt>
              <c:pt idx="66">
                <c:v>6028</c:v>
              </c:pt>
              <c:pt idx="67">
                <c:v>5933</c:v>
              </c:pt>
              <c:pt idx="68">
                <c:v>5946</c:v>
              </c:pt>
              <c:pt idx="69">
                <c:v>6015</c:v>
              </c:pt>
              <c:pt idx="70">
                <c:v>5852</c:v>
              </c:pt>
              <c:pt idx="71">
                <c:v>5606</c:v>
              </c:pt>
              <c:pt idx="72">
                <c:v>5882</c:v>
              </c:pt>
              <c:pt idx="73">
                <c:v>5735</c:v>
              </c:pt>
              <c:pt idx="74">
                <c:v>6302</c:v>
              </c:pt>
              <c:pt idx="75">
                <c:v>6260</c:v>
              </c:pt>
              <c:pt idx="76">
                <c:v>6254</c:v>
              </c:pt>
              <c:pt idx="77">
                <c:v>5832</c:v>
              </c:pt>
              <c:pt idx="78">
                <c:v>6053</c:v>
              </c:pt>
              <c:pt idx="79">
                <c:v>6006</c:v>
              </c:pt>
              <c:pt idx="80">
                <c:v>6083</c:v>
              </c:pt>
              <c:pt idx="81">
                <c:v>5905</c:v>
              </c:pt>
              <c:pt idx="82">
                <c:v>5904</c:v>
              </c:pt>
              <c:pt idx="83">
                <c:v>5891</c:v>
              </c:pt>
              <c:pt idx="84">
                <c:v>5808</c:v>
              </c:pt>
              <c:pt idx="85">
                <c:v>5901</c:v>
              </c:pt>
              <c:pt idx="86">
                <c:v>5988</c:v>
              </c:pt>
              <c:pt idx="87">
                <c:v>5825</c:v>
              </c:pt>
              <c:pt idx="88">
                <c:v>5859</c:v>
              </c:pt>
              <c:pt idx="89">
                <c:v>5827</c:v>
              </c:pt>
              <c:pt idx="90">
                <c:v>5902</c:v>
              </c:pt>
              <c:pt idx="91">
                <c:v>6008</c:v>
              </c:pt>
              <c:pt idx="92">
                <c:v>6090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3E6-4AE2-9076-69D302535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139295"/>
        <c:axId val="1106136895"/>
      </c:lineChart>
      <c:dateAx>
        <c:axId val="1106139295"/>
        <c:scaling>
          <c:orientation val="minMax"/>
        </c:scaling>
        <c:delete val="0"/>
        <c:axPos val="b"/>
        <c:numFmt formatCode="[$-409]m/d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6895"/>
        <c:crosses val="autoZero"/>
        <c:auto val="0"/>
        <c:lblOffset val="100"/>
        <c:baseTimeUnit val="days"/>
      </c:dateAx>
      <c:valAx>
        <c:axId val="1106136895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92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249065</xdr:colOff>
          <xdr:row>0</xdr:row>
          <xdr:rowOff>146538</xdr:rowOff>
        </xdr:from>
        <xdr:to>
          <xdr:col>7</xdr:col>
          <xdr:colOff>446942</xdr:colOff>
          <xdr:row>3</xdr:row>
          <xdr:rowOff>3638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893</xdr:colOff>
          <xdr:row>0</xdr:row>
          <xdr:rowOff>135355</xdr:rowOff>
        </xdr:from>
        <xdr:to>
          <xdr:col>9</xdr:col>
          <xdr:colOff>611606</xdr:colOff>
          <xdr:row>2</xdr:row>
          <xdr:rowOff>188739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17</xdr:col>
      <xdr:colOff>629966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247160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259903</xdr:colOff>
          <xdr:row>0</xdr:row>
          <xdr:rowOff>160421</xdr:rowOff>
        </xdr:from>
        <xdr:to>
          <xdr:col>11</xdr:col>
          <xdr:colOff>627855</xdr:colOff>
          <xdr:row>3</xdr:row>
          <xdr:rowOff>25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731048</xdr:colOff>
      <xdr:row>4</xdr:row>
      <xdr:rowOff>4991</xdr:rowOff>
    </xdr:from>
    <xdr:to>
      <xdr:col>21</xdr:col>
      <xdr:colOff>252827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</xdr:col>
      <xdr:colOff>82550</xdr:colOff>
      <xdr:row>4</xdr:row>
      <xdr:rowOff>9525</xdr:rowOff>
    </xdr:from>
    <xdr:to>
      <xdr:col>12</xdr:col>
      <xdr:colOff>444500</xdr:colOff>
      <xdr:row>15</xdr:row>
      <xdr:rowOff>127767</xdr:rowOff>
    </xdr:to>
    <xdr:graphicFrame macro="">
      <xdr:nvGraphicFramePr>
        <xdr:cNvPr id="53" name="NAV 3M">
          <a:extLst>
            <a:ext uri="{FF2B5EF4-FFF2-40B4-BE49-F238E27FC236}">
              <a16:creationId xmlns:a16="http://schemas.microsoft.com/office/drawing/2014/main" id="{07385F98-EC00-F911-1FFC-5600320F6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106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7" customWidth="1"/>
    <col min="2" max="2" width="11.42578125" style="97" customWidth="1"/>
    <col min="3" max="16384" width="9.140625" style="97"/>
  </cols>
  <sheetData>
    <row r="2" spans="1:10" x14ac:dyDescent="0.2">
      <c r="A2" s="97" t="s">
        <v>151</v>
      </c>
      <c r="B2" s="100">
        <v>45870</v>
      </c>
    </row>
    <row r="3" spans="1:10" x14ac:dyDescent="0.2">
      <c r="A3" s="97" t="s">
        <v>152</v>
      </c>
      <c r="B3" s="100">
        <v>45899</v>
      </c>
    </row>
    <row r="5" spans="1:10" x14ac:dyDescent="0.2">
      <c r="A5" s="101"/>
      <c r="E5" s="102"/>
      <c r="J5" s="10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zoomScale="145" zoomScaleNormal="145" workbookViewId="0">
      <selection activeCell="T31" sqref="T31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14.85546875" customWidth="1"/>
    <col min="19" max="19" width="11.5703125" customWidth="1"/>
    <col min="16384" max="16384" width="0" hidden="1" customWidth="1"/>
  </cols>
  <sheetData>
    <row r="1" spans="1:16 16384:16384" ht="15.75" customHeight="1" x14ac:dyDescent="0.25">
      <c r="A1" s="135" t="s">
        <v>671</v>
      </c>
      <c r="B1" s="136"/>
      <c r="C1" s="136"/>
      <c r="D1" s="134"/>
      <c r="E1" s="3"/>
      <c r="G1" s="3"/>
      <c r="H1" s="3"/>
    </row>
    <row r="2" spans="1:16 16384:16384" ht="15.75" customHeight="1" x14ac:dyDescent="0.2">
      <c r="A2" s="75"/>
      <c r="B2" s="76"/>
      <c r="C2" s="76"/>
      <c r="D2" s="3"/>
      <c r="E2" s="3"/>
      <c r="G2" s="3"/>
      <c r="H2" s="3"/>
      <c r="XFD2" s="133">
        <v>45809</v>
      </c>
    </row>
    <row r="3" spans="1:16 16384:16384" ht="15.75" customHeight="1" x14ac:dyDescent="0.2">
      <c r="A3" s="95" t="s">
        <v>655</v>
      </c>
      <c r="B3" s="77">
        <v>45909</v>
      </c>
      <c r="C3" s="3" t="s">
        <v>140</v>
      </c>
      <c r="F3" s="56"/>
      <c r="H3" s="3"/>
      <c r="O3" s="10"/>
      <c r="P3" s="10"/>
      <c r="XFD3" s="133">
        <v>45810</v>
      </c>
    </row>
    <row r="4" spans="1:16 16384:16384" ht="15.75" customHeight="1" x14ac:dyDescent="0.2">
      <c r="A4" s="95"/>
      <c r="B4" s="3"/>
      <c r="C4" s="3"/>
      <c r="F4" s="56"/>
      <c r="H4" s="3"/>
      <c r="O4" s="10"/>
      <c r="P4" s="10"/>
      <c r="XFD4" s="133">
        <v>45811</v>
      </c>
    </row>
    <row r="5" spans="1:16 16384:16384" ht="15.75" customHeight="1" x14ac:dyDescent="0.2">
      <c r="A5" s="137" t="s">
        <v>672</v>
      </c>
      <c r="B5" s="137"/>
      <c r="C5" s="137"/>
      <c r="F5" s="56"/>
      <c r="H5" s="3"/>
      <c r="O5" s="10"/>
      <c r="P5" s="10"/>
      <c r="XFD5" s="133">
        <v>45812</v>
      </c>
    </row>
    <row r="6" spans="1:16 16384:16384" ht="15.75" customHeight="1" x14ac:dyDescent="0.2">
      <c r="A6" s="5"/>
      <c r="B6" s="24"/>
      <c r="C6" s="139" t="s">
        <v>678</v>
      </c>
      <c r="D6" s="138" t="s">
        <v>673</v>
      </c>
      <c r="E6" s="138"/>
      <c r="F6" s="56"/>
      <c r="H6" s="3"/>
      <c r="O6" s="10"/>
      <c r="P6" s="10"/>
      <c r="XFD6" s="133">
        <v>45813</v>
      </c>
    </row>
    <row r="7" spans="1:16 16384:16384" ht="15.75" customHeight="1" x14ac:dyDescent="0.2">
      <c r="A7" s="125" t="s">
        <v>142</v>
      </c>
      <c r="B7" s="24">
        <v>902</v>
      </c>
      <c r="C7" s="140"/>
      <c r="D7" s="121"/>
      <c r="E7" s="121"/>
      <c r="F7" s="56"/>
      <c r="H7" s="3"/>
      <c r="O7" s="10"/>
      <c r="P7" s="10"/>
      <c r="XFD7" s="133">
        <v>45814</v>
      </c>
    </row>
    <row r="8" spans="1:16 16384:16384" ht="15.75" customHeight="1" x14ac:dyDescent="0.2">
      <c r="A8" s="125" t="s">
        <v>113</v>
      </c>
      <c r="B8" s="24">
        <v>5203</v>
      </c>
      <c r="C8" s="140"/>
      <c r="D8" s="121"/>
      <c r="E8" s="121"/>
      <c r="F8" s="56"/>
      <c r="H8" s="3"/>
      <c r="O8" s="10"/>
      <c r="P8" s="10"/>
      <c r="XFD8" s="133">
        <v>45815</v>
      </c>
    </row>
    <row r="9" spans="1:16 16384:16384" ht="15.75" customHeight="1" x14ac:dyDescent="0.2">
      <c r="A9" s="96" t="s">
        <v>0</v>
      </c>
      <c r="B9" s="76">
        <v>6105</v>
      </c>
      <c r="C9">
        <f>storage!B3+storage!B4</f>
        <v>6501</v>
      </c>
      <c r="D9" s="120"/>
      <c r="E9" s="119"/>
      <c r="F9" s="56"/>
      <c r="H9" s="3"/>
      <c r="O9" s="10"/>
      <c r="P9" s="10"/>
      <c r="XFD9" s="133">
        <v>45816</v>
      </c>
    </row>
    <row r="10" spans="1:16 16384:16384" ht="15.75" customHeight="1" x14ac:dyDescent="0.2">
      <c r="A10" s="125" t="s">
        <v>680</v>
      </c>
      <c r="B10" s="24">
        <v>6302</v>
      </c>
      <c r="F10" s="56"/>
      <c r="H10" s="3"/>
      <c r="O10" s="10"/>
      <c r="P10" s="10"/>
      <c r="XFD10" s="133">
        <v>45817</v>
      </c>
    </row>
    <row r="11" spans="1:16 16384:16384" ht="15.75" customHeight="1" x14ac:dyDescent="0.2">
      <c r="A11" s="125" t="s">
        <v>681</v>
      </c>
      <c r="B11" s="24">
        <v>4904</v>
      </c>
      <c r="F11" s="56"/>
      <c r="H11" s="3"/>
      <c r="O11" s="10"/>
      <c r="P11" s="10"/>
      <c r="XFD11" s="133">
        <v>45818</v>
      </c>
    </row>
    <row r="12" spans="1:16 16384:16384" ht="15.75" customHeight="1" x14ac:dyDescent="0.2">
      <c r="A12" s="95" t="s">
        <v>656</v>
      </c>
      <c r="B12" s="128">
        <v>3.3640114249444623E-2</v>
      </c>
      <c r="C12" s="41">
        <v>0.3</v>
      </c>
      <c r="D12" s="120"/>
      <c r="E12" s="120"/>
      <c r="F12" s="56"/>
      <c r="H12" s="3"/>
      <c r="O12" s="10"/>
      <c r="P12" s="10"/>
      <c r="XFD12" s="133">
        <v>45819</v>
      </c>
    </row>
    <row r="13" spans="1:16 16384:16384" ht="15.75" customHeight="1" x14ac:dyDescent="0.2">
      <c r="A13" s="10" t="s">
        <v>108</v>
      </c>
      <c r="B13" s="105">
        <v>4629</v>
      </c>
      <c r="D13" s="86"/>
      <c r="F13" s="56"/>
      <c r="H13" s="3"/>
      <c r="O13" s="10"/>
      <c r="P13" s="10"/>
      <c r="XFD13" s="133">
        <v>45820</v>
      </c>
    </row>
    <row r="14" spans="1:16 16384:16384" ht="15.75" customHeight="1" x14ac:dyDescent="0.2">
      <c r="A14" s="10" t="s">
        <v>109</v>
      </c>
      <c r="B14" s="105">
        <v>300</v>
      </c>
      <c r="C14" s="95"/>
      <c r="D14" s="86"/>
      <c r="F14" s="56"/>
      <c r="H14" s="3"/>
      <c r="O14" s="10"/>
      <c r="P14" s="10"/>
      <c r="XFD14" s="133">
        <v>45821</v>
      </c>
    </row>
    <row r="15" spans="1:16 16384:16384" ht="15.75" customHeight="1" x14ac:dyDescent="0.2">
      <c r="A15" s="95" t="s">
        <v>110</v>
      </c>
      <c r="B15" s="86">
        <v>1776</v>
      </c>
      <c r="C15" s="95"/>
      <c r="D15" s="86"/>
      <c r="F15" s="56"/>
      <c r="H15" s="3"/>
      <c r="O15" s="10"/>
      <c r="P15" s="10"/>
      <c r="XFD15" s="133">
        <v>45822</v>
      </c>
    </row>
    <row r="16" spans="1:16 16384:16384" ht="15.75" customHeight="1" x14ac:dyDescent="0.2">
      <c r="B16" s="86"/>
      <c r="C16" s="95"/>
      <c r="D16" s="86"/>
      <c r="F16" s="56"/>
      <c r="H16" s="3"/>
      <c r="O16" s="10"/>
      <c r="P16" s="10"/>
      <c r="XFD16" s="133">
        <v>45823</v>
      </c>
    </row>
    <row r="17" spans="1:17 16384:16384" ht="15.75" customHeight="1" x14ac:dyDescent="0.2">
      <c r="A17" s="137" t="s">
        <v>45</v>
      </c>
      <c r="B17" s="137"/>
      <c r="C17" s="137"/>
      <c r="D17" s="86"/>
      <c r="F17" s="56"/>
      <c r="H17" s="3"/>
      <c r="O17" s="10"/>
      <c r="P17" s="10"/>
      <c r="XFD17" s="133">
        <v>45824</v>
      </c>
    </row>
    <row r="18" spans="1:17 16384:16384" ht="15.75" customHeight="1" x14ac:dyDescent="0.2">
      <c r="A18" s="95" t="s">
        <v>657</v>
      </c>
      <c r="B18" s="124">
        <v>0.85</v>
      </c>
      <c r="C18" s="127">
        <v>1</v>
      </c>
      <c r="D18" s="131"/>
      <c r="E18" s="131"/>
      <c r="F18" s="56"/>
      <c r="H18" s="3"/>
      <c r="O18" s="10"/>
      <c r="P18" s="10"/>
      <c r="XFD18" s="133">
        <v>45825</v>
      </c>
    </row>
    <row r="19" spans="1:17 16384:16384" ht="15.75" customHeight="1" x14ac:dyDescent="0.2">
      <c r="A19" s="95" t="s">
        <v>658</v>
      </c>
      <c r="B19" s="124">
        <v>0</v>
      </c>
      <c r="C19" s="127">
        <v>0</v>
      </c>
      <c r="D19" s="131"/>
      <c r="E19" s="131"/>
      <c r="F19" s="56"/>
      <c r="H19" s="3"/>
      <c r="O19" s="10"/>
      <c r="P19" s="10"/>
      <c r="XFD19" s="133">
        <v>45826</v>
      </c>
    </row>
    <row r="20" spans="1:17 16384:16384" ht="15.75" customHeight="1" x14ac:dyDescent="0.2">
      <c r="A20" s="95" t="s">
        <v>659</v>
      </c>
      <c r="B20" s="124">
        <v>0.85</v>
      </c>
      <c r="C20" s="127">
        <v>0.8</v>
      </c>
      <c r="D20" s="131"/>
      <c r="E20" s="131"/>
      <c r="F20" s="56"/>
      <c r="H20" s="3"/>
      <c r="O20" s="10"/>
      <c r="P20" s="10"/>
      <c r="XFD20" s="133">
        <v>45827</v>
      </c>
    </row>
    <row r="21" spans="1:17 16384:16384" ht="15.75" customHeight="1" x14ac:dyDescent="0.2">
      <c r="A21" s="10" t="s">
        <v>660</v>
      </c>
      <c r="B21" s="105">
        <v>5</v>
      </c>
      <c r="C21" s="10">
        <v>10</v>
      </c>
      <c r="D21" s="131"/>
      <c r="E21" s="131"/>
      <c r="F21" s="56"/>
      <c r="H21" s="3"/>
      <c r="O21" s="10"/>
      <c r="P21" s="10"/>
      <c r="XFD21" s="133">
        <v>45828</v>
      </c>
    </row>
    <row r="22" spans="1:17 16384:16384" ht="15.75" customHeight="1" x14ac:dyDescent="0.2">
      <c r="A22" s="95" t="s">
        <v>661</v>
      </c>
      <c r="B22" s="124">
        <v>0.15</v>
      </c>
      <c r="C22" s="10"/>
      <c r="D22" s="131"/>
      <c r="E22" s="131"/>
      <c r="F22" s="56"/>
      <c r="H22" s="3"/>
      <c r="O22" s="10"/>
      <c r="P22" s="10"/>
      <c r="XFD22" s="133">
        <v>45829</v>
      </c>
    </row>
    <row r="23" spans="1:17 16384:16384" ht="15.75" customHeight="1" x14ac:dyDescent="0.2">
      <c r="A23" s="10" t="s">
        <v>662</v>
      </c>
      <c r="B23" s="105">
        <v>11</v>
      </c>
      <c r="C23" s="10">
        <v>10</v>
      </c>
      <c r="D23" s="131"/>
      <c r="E23" s="131"/>
      <c r="F23" s="56"/>
      <c r="H23" s="3"/>
      <c r="O23" s="10"/>
      <c r="P23" s="10"/>
      <c r="XFD23" s="133">
        <v>45830</v>
      </c>
    </row>
    <row r="24" spans="1:17 16384:16384" ht="15.75" customHeight="1" x14ac:dyDescent="0.2">
      <c r="A24" s="95" t="s">
        <v>663</v>
      </c>
      <c r="B24" s="124">
        <v>0</v>
      </c>
      <c r="C24" s="10"/>
      <c r="D24" s="131"/>
      <c r="E24" s="131"/>
      <c r="F24" s="56"/>
      <c r="H24" s="3"/>
      <c r="O24" s="10"/>
      <c r="P24" s="10"/>
      <c r="XFD24" s="133">
        <v>45831</v>
      </c>
    </row>
    <row r="25" spans="1:17 16384:16384" ht="15.75" customHeight="1" x14ac:dyDescent="0.2">
      <c r="A25" s="10" t="s">
        <v>664</v>
      </c>
      <c r="B25" s="105">
        <v>0</v>
      </c>
      <c r="C25" s="10"/>
      <c r="D25" s="131"/>
      <c r="E25" s="131"/>
      <c r="F25" s="56"/>
      <c r="H25" s="3"/>
      <c r="O25" s="10"/>
      <c r="P25" s="10"/>
      <c r="XFD25" s="133">
        <v>45832</v>
      </c>
    </row>
    <row r="26" spans="1:17 16384:16384" ht="15.75" customHeight="1" x14ac:dyDescent="0.2">
      <c r="A26" s="10"/>
      <c r="B26" s="105"/>
      <c r="C26" s="95"/>
      <c r="D26" s="86"/>
      <c r="E26" s="86"/>
      <c r="F26" s="56"/>
      <c r="H26" s="3"/>
      <c r="O26" s="10"/>
      <c r="P26" s="10"/>
      <c r="XFD26" s="133"/>
    </row>
    <row r="27" spans="1:17 16384:16384" ht="15.75" customHeight="1" x14ac:dyDescent="0.2">
      <c r="A27" s="10"/>
      <c r="B27" s="105"/>
      <c r="C27" s="95"/>
      <c r="D27" s="86"/>
      <c r="E27" s="86"/>
      <c r="F27" s="56"/>
      <c r="H27" s="3"/>
      <c r="O27" s="10"/>
      <c r="P27" s="10"/>
      <c r="XFD27" s="133"/>
    </row>
    <row r="28" spans="1:17 16384:16384" ht="15.75" customHeight="1" x14ac:dyDescent="0.2">
      <c r="A28" s="10"/>
      <c r="B28" s="105"/>
      <c r="C28" s="95"/>
      <c r="D28" s="86"/>
      <c r="E28" s="86"/>
      <c r="F28" s="56"/>
      <c r="H28" s="3"/>
      <c r="O28" s="10"/>
      <c r="P28" s="10"/>
      <c r="XFD28" s="133"/>
    </row>
    <row r="29" spans="1:17 16384:16384" ht="15.75" customHeight="1" x14ac:dyDescent="0.2">
      <c r="A29" s="137" t="s">
        <v>129</v>
      </c>
      <c r="B29" s="137"/>
      <c r="C29" s="137"/>
      <c r="D29" s="86"/>
      <c r="E29" s="86"/>
      <c r="F29" s="56"/>
      <c r="H29" s="3"/>
      <c r="O29" s="10"/>
      <c r="P29" s="10"/>
      <c r="XFD29" s="133"/>
    </row>
    <row r="30" spans="1:17 16384:16384" ht="31.5" customHeight="1" x14ac:dyDescent="0.2">
      <c r="A30" s="11" t="s">
        <v>123</v>
      </c>
      <c r="B30" s="11" t="s">
        <v>113</v>
      </c>
      <c r="C30" s="11" t="s">
        <v>124</v>
      </c>
      <c r="D30" s="11" t="s">
        <v>125</v>
      </c>
      <c r="E30" s="11" t="s">
        <v>126</v>
      </c>
      <c r="F30" s="11" t="s">
        <v>127</v>
      </c>
      <c r="G30" s="11" t="s">
        <v>128</v>
      </c>
      <c r="H30" s="11" t="s">
        <v>130</v>
      </c>
      <c r="I30" s="11" t="s">
        <v>131</v>
      </c>
      <c r="J30" s="11" t="s">
        <v>132</v>
      </c>
      <c r="K30" s="11" t="s">
        <v>133</v>
      </c>
      <c r="L30" s="11" t="s">
        <v>136</v>
      </c>
      <c r="M30" s="11" t="s">
        <v>135</v>
      </c>
      <c r="N30" s="11" t="s">
        <v>679</v>
      </c>
      <c r="O30" s="11" t="s">
        <v>137</v>
      </c>
      <c r="P30" s="11" t="s">
        <v>139</v>
      </c>
      <c r="Q30" s="34" t="s">
        <v>138</v>
      </c>
      <c r="XFD30" s="133">
        <v>45834</v>
      </c>
    </row>
    <row r="31" spans="1:17 16384:16384" ht="15.75" customHeight="1" x14ac:dyDescent="0.2">
      <c r="A31" s="84" t="s">
        <v>160</v>
      </c>
      <c r="B31" s="84" t="s">
        <v>34</v>
      </c>
      <c r="C31" s="145">
        <v>45383.458333333336</v>
      </c>
      <c r="D31" s="180"/>
      <c r="E31" s="115">
        <v>0.60499999999999998</v>
      </c>
      <c r="F31" s="148">
        <v>1688</v>
      </c>
      <c r="G31" s="181">
        <v>2789.06</v>
      </c>
      <c r="H31" s="79">
        <v>4310.09</v>
      </c>
      <c r="I31" s="115">
        <v>0</v>
      </c>
      <c r="J31" s="104">
        <v>0</v>
      </c>
      <c r="K31" s="80"/>
      <c r="L31" s="118">
        <v>0.60499999999999998</v>
      </c>
      <c r="M31" s="81">
        <v>2608</v>
      </c>
      <c r="N31" s="141">
        <v>0.42717429623666575</v>
      </c>
      <c r="O31" s="103">
        <v>920</v>
      </c>
      <c r="P31" s="129">
        <v>0.54535635646193836</v>
      </c>
      <c r="Q31" s="83" t="s">
        <v>61</v>
      </c>
      <c r="XFD31" s="133">
        <v>45835</v>
      </c>
    </row>
    <row r="32" spans="1:17 16384:16384" ht="15.75" customHeight="1" x14ac:dyDescent="0.2">
      <c r="A32" s="84" t="s">
        <v>160</v>
      </c>
      <c r="B32" s="144" t="s">
        <v>35</v>
      </c>
      <c r="C32" s="145">
        <v>45870.458333333336</v>
      </c>
      <c r="D32" s="145"/>
      <c r="E32" s="115">
        <v>4.0439999999999996</v>
      </c>
      <c r="F32" s="148">
        <v>658</v>
      </c>
      <c r="G32" s="149">
        <v>162.71</v>
      </c>
      <c r="H32" s="153">
        <v>217.21</v>
      </c>
      <c r="I32" s="118">
        <v>0</v>
      </c>
      <c r="J32" s="81">
        <v>0</v>
      </c>
      <c r="K32" s="149"/>
      <c r="L32" s="154">
        <v>4.0439999999999996</v>
      </c>
      <c r="M32" s="156">
        <v>878</v>
      </c>
      <c r="N32" s="158">
        <v>0.14381097856433764</v>
      </c>
      <c r="O32" s="160">
        <v>220</v>
      </c>
      <c r="P32" s="129">
        <v>0.33495175465552196</v>
      </c>
      <c r="Q32" s="83" t="s">
        <v>67</v>
      </c>
      <c r="XFD32" s="133">
        <v>45836</v>
      </c>
    </row>
    <row r="33" spans="1:17 16384:16384" ht="15" customHeight="1" x14ac:dyDescent="0.2">
      <c r="A33" s="171" t="s">
        <v>160</v>
      </c>
      <c r="B33" s="172" t="s">
        <v>80</v>
      </c>
      <c r="C33" s="146">
        <v>45870.458333333336</v>
      </c>
      <c r="D33" s="146"/>
      <c r="E33" s="115">
        <v>0.58599999999999997</v>
      </c>
      <c r="F33" s="148">
        <v>444</v>
      </c>
      <c r="G33" s="152">
        <v>757.8</v>
      </c>
      <c r="H33" s="150">
        <v>880.01</v>
      </c>
      <c r="I33" s="154">
        <v>0</v>
      </c>
      <c r="J33" s="148">
        <v>0</v>
      </c>
      <c r="K33" s="152"/>
      <c r="L33" s="154">
        <v>0.58599999999999997</v>
      </c>
      <c r="M33" s="155">
        <v>516</v>
      </c>
      <c r="N33" s="157">
        <v>8.4517613825966079E-2</v>
      </c>
      <c r="O33" s="161">
        <v>72</v>
      </c>
      <c r="P33" s="163">
        <v>0.16126946423858549</v>
      </c>
      <c r="Q33" s="82" t="s">
        <v>61</v>
      </c>
      <c r="XFD33" s="133">
        <v>45837</v>
      </c>
    </row>
    <row r="34" spans="1:17 16384:16384" ht="15.75" customHeight="1" x14ac:dyDescent="0.2">
      <c r="A34" s="78" t="s">
        <v>160</v>
      </c>
      <c r="B34" s="78" t="s">
        <v>37</v>
      </c>
      <c r="C34" s="146">
        <v>45870.458333333336</v>
      </c>
      <c r="D34" s="147"/>
      <c r="E34" s="115">
        <v>408.81</v>
      </c>
      <c r="F34" s="148">
        <v>292</v>
      </c>
      <c r="G34" s="166">
        <v>0.71</v>
      </c>
      <c r="H34" s="150">
        <v>0.86519999999999997</v>
      </c>
      <c r="I34" s="154">
        <v>0</v>
      </c>
      <c r="J34" s="148">
        <v>0</v>
      </c>
      <c r="K34" s="150"/>
      <c r="L34" s="154">
        <v>408.81</v>
      </c>
      <c r="M34" s="148">
        <v>354</v>
      </c>
      <c r="N34" s="159">
        <v>5.7983014136418584E-2</v>
      </c>
      <c r="O34" s="161">
        <v>62</v>
      </c>
      <c r="P34" s="163">
        <v>0.21159501470382294</v>
      </c>
      <c r="Q34" s="82" t="s">
        <v>61</v>
      </c>
      <c r="XFD34" s="133">
        <v>45838</v>
      </c>
    </row>
    <row r="35" spans="1:17 16384:16384" ht="15.75" customHeight="1" x14ac:dyDescent="0.2">
      <c r="A35" s="14" t="s">
        <v>160</v>
      </c>
      <c r="B35" s="84" t="s">
        <v>79</v>
      </c>
      <c r="C35" s="173">
        <v>45870.458333333336</v>
      </c>
      <c r="D35" s="173"/>
      <c r="E35" s="117">
        <v>93.75</v>
      </c>
      <c r="F35" s="23">
        <v>90</v>
      </c>
      <c r="G35" s="151">
        <v>0.96</v>
      </c>
      <c r="H35" s="70">
        <v>1.929</v>
      </c>
      <c r="I35" s="174">
        <v>0</v>
      </c>
      <c r="J35" s="165">
        <v>0</v>
      </c>
      <c r="K35" s="168"/>
      <c r="L35" s="117">
        <v>93.75</v>
      </c>
      <c r="M35" s="165">
        <v>181</v>
      </c>
      <c r="N35" s="175">
        <v>2.9646682369185776E-2</v>
      </c>
      <c r="O35" s="178">
        <v>90</v>
      </c>
      <c r="P35" s="179">
        <v>1.0010373443983402</v>
      </c>
      <c r="Q35" s="83" t="s">
        <v>67</v>
      </c>
      <c r="XFD35" s="133">
        <v>45839</v>
      </c>
    </row>
    <row r="36" spans="1:17 16384:16384" ht="15.75" customHeight="1" x14ac:dyDescent="0.2">
      <c r="A36" s="84" t="s">
        <v>160</v>
      </c>
      <c r="B36" s="84" t="s">
        <v>154</v>
      </c>
      <c r="C36" s="164">
        <v>45909.458333333336</v>
      </c>
      <c r="D36" s="164"/>
      <c r="E36" s="115">
        <v>81.92</v>
      </c>
      <c r="F36" s="148">
        <v>100</v>
      </c>
      <c r="G36" s="79">
        <v>1.22</v>
      </c>
      <c r="H36" s="150">
        <v>1.6803999999999999</v>
      </c>
      <c r="I36" s="154">
        <v>0</v>
      </c>
      <c r="J36" s="148">
        <v>0</v>
      </c>
      <c r="K36" s="150"/>
      <c r="L36" s="154">
        <v>81.92</v>
      </c>
      <c r="M36" s="148">
        <v>138</v>
      </c>
      <c r="N36" s="159">
        <v>2.2603547883688603E-2</v>
      </c>
      <c r="O36" s="161">
        <v>38</v>
      </c>
      <c r="P36" s="163">
        <v>0.37658720406324248</v>
      </c>
      <c r="Q36" s="83" t="s">
        <v>141</v>
      </c>
      <c r="XFD36" s="133">
        <v>45840</v>
      </c>
    </row>
    <row r="37" spans="1:17 16384:16384" ht="15.75" customHeight="1" x14ac:dyDescent="0.2">
      <c r="A37" s="84" t="s">
        <v>160</v>
      </c>
      <c r="B37" s="84" t="s">
        <v>155</v>
      </c>
      <c r="C37" s="164">
        <v>45909.458333333336</v>
      </c>
      <c r="D37" s="164"/>
      <c r="E37" s="115">
        <v>1.97</v>
      </c>
      <c r="F37" s="148">
        <v>100</v>
      </c>
      <c r="G37" s="79">
        <v>50.74</v>
      </c>
      <c r="H37" s="80">
        <v>54.86</v>
      </c>
      <c r="I37" s="154">
        <v>0</v>
      </c>
      <c r="J37" s="148">
        <v>0</v>
      </c>
      <c r="K37" s="150"/>
      <c r="L37" s="115">
        <v>1.97</v>
      </c>
      <c r="M37" s="148">
        <v>108</v>
      </c>
      <c r="N37" s="159">
        <v>1.7689733126364994E-2</v>
      </c>
      <c r="O37" s="161">
        <v>8</v>
      </c>
      <c r="P37" s="163">
        <v>8.119826566811178E-2</v>
      </c>
      <c r="Q37" s="83" t="s">
        <v>141</v>
      </c>
      <c r="XFD37" s="133">
        <v>45841</v>
      </c>
    </row>
    <row r="38" spans="1:17 16384:16384" ht="15.75" customHeight="1" x14ac:dyDescent="0.2">
      <c r="A38" s="84" t="s">
        <v>160</v>
      </c>
      <c r="B38" s="84" t="s">
        <v>101</v>
      </c>
      <c r="C38" s="164">
        <v>45870.458333333336</v>
      </c>
      <c r="D38" s="169"/>
      <c r="E38" s="116">
        <v>25.1</v>
      </c>
      <c r="F38" s="148">
        <v>87</v>
      </c>
      <c r="G38" s="79">
        <v>3.45</v>
      </c>
      <c r="H38" s="153">
        <v>3.4698000000000002</v>
      </c>
      <c r="I38" s="154">
        <v>0</v>
      </c>
      <c r="J38" s="170">
        <v>0</v>
      </c>
      <c r="K38" s="150"/>
      <c r="L38" s="154">
        <v>25.1</v>
      </c>
      <c r="M38" s="148">
        <v>87</v>
      </c>
      <c r="N38" s="159">
        <v>1.4250062796238467E-2</v>
      </c>
      <c r="O38" s="170">
        <v>0</v>
      </c>
      <c r="P38" s="163">
        <v>5.7391304347825332E-3</v>
      </c>
      <c r="Q38" s="83" t="s">
        <v>61</v>
      </c>
      <c r="XFD38" s="133">
        <v>45842</v>
      </c>
    </row>
    <row r="39" spans="1:17 16384:16384" ht="15.75" customHeight="1" x14ac:dyDescent="0.2">
      <c r="A39" s="14" t="s">
        <v>160</v>
      </c>
      <c r="B39" s="84" t="s">
        <v>111</v>
      </c>
      <c r="C39" s="126">
        <v>45870.458333333336</v>
      </c>
      <c r="D39" s="126"/>
      <c r="E39" s="117">
        <v>76.02</v>
      </c>
      <c r="F39" s="165">
        <v>68</v>
      </c>
      <c r="G39" s="167">
        <v>0.89</v>
      </c>
      <c r="H39" s="70">
        <v>0.9536</v>
      </c>
      <c r="I39" s="117">
        <v>0</v>
      </c>
      <c r="J39" s="23">
        <v>0</v>
      </c>
      <c r="K39" s="70"/>
      <c r="L39" s="117">
        <v>76.02</v>
      </c>
      <c r="M39" s="23">
        <v>72</v>
      </c>
      <c r="N39" s="142">
        <v>1.1793155417576662E-2</v>
      </c>
      <c r="O39" s="114">
        <v>5</v>
      </c>
      <c r="P39" s="130">
        <v>7.1581076525452231E-2</v>
      </c>
      <c r="Q39" s="83" t="s">
        <v>67</v>
      </c>
      <c r="XFD39" s="133">
        <v>45843</v>
      </c>
    </row>
    <row r="40" spans="1:17 16384:16384" ht="15.75" customHeight="1" x14ac:dyDescent="0.2">
      <c r="A40" s="14" t="s">
        <v>160</v>
      </c>
      <c r="B40" s="84" t="s">
        <v>90</v>
      </c>
      <c r="C40" s="173">
        <v>45870.458333333336</v>
      </c>
      <c r="D40" s="173"/>
      <c r="E40" s="117">
        <v>2.5</v>
      </c>
      <c r="F40" s="165">
        <v>40</v>
      </c>
      <c r="G40" s="151">
        <v>16.07</v>
      </c>
      <c r="H40" s="168">
        <v>23.05</v>
      </c>
      <c r="I40" s="174">
        <v>0</v>
      </c>
      <c r="J40" s="165">
        <v>0</v>
      </c>
      <c r="K40" s="168"/>
      <c r="L40" s="174">
        <v>2.5</v>
      </c>
      <c r="M40" s="165">
        <v>58</v>
      </c>
      <c r="N40" s="175">
        <v>9.5000418641589778E-3</v>
      </c>
      <c r="O40" s="178">
        <v>17</v>
      </c>
      <c r="P40" s="179">
        <v>0.43434971997510902</v>
      </c>
      <c r="Q40" s="83" t="s">
        <v>67</v>
      </c>
      <c r="XFD40" s="133">
        <v>45844</v>
      </c>
    </row>
    <row r="41" spans="1:17 16384:16384" ht="15.75" customHeight="1" x14ac:dyDescent="0.2">
      <c r="A41" s="143" t="s">
        <v>160</v>
      </c>
      <c r="B41" s="143" t="s">
        <v>85</v>
      </c>
      <c r="C41" s="164">
        <v>45870.458333333336</v>
      </c>
      <c r="D41" s="164"/>
      <c r="E41" s="115">
        <v>2059</v>
      </c>
      <c r="F41" s="148">
        <v>47</v>
      </c>
      <c r="G41" s="79">
        <v>0.02</v>
      </c>
      <c r="H41" s="150">
        <v>2.4209999999999999E-2</v>
      </c>
      <c r="I41" s="154">
        <v>0</v>
      </c>
      <c r="J41" s="148">
        <v>0</v>
      </c>
      <c r="K41" s="150"/>
      <c r="L41" s="154">
        <v>2059</v>
      </c>
      <c r="M41" s="148">
        <v>50</v>
      </c>
      <c r="N41" s="159">
        <v>8.1896912622060145E-3</v>
      </c>
      <c r="O41" s="161">
        <v>3</v>
      </c>
      <c r="P41" s="163">
        <v>7.1238938053097223E-2</v>
      </c>
      <c r="Q41" s="83" t="s">
        <v>61</v>
      </c>
      <c r="XFD41" s="133">
        <v>45845</v>
      </c>
    </row>
    <row r="42" spans="1:17 16384:16384" ht="15.75" customHeight="1" x14ac:dyDescent="0.2">
      <c r="A42" s="84" t="s">
        <v>160</v>
      </c>
      <c r="B42" s="84" t="s">
        <v>88</v>
      </c>
      <c r="C42" s="164">
        <v>45870.458333333336</v>
      </c>
      <c r="D42" s="164"/>
      <c r="E42" s="115">
        <v>3.8220000000000001</v>
      </c>
      <c r="F42" s="81">
        <v>35</v>
      </c>
      <c r="G42" s="79">
        <v>9.0399999999999991</v>
      </c>
      <c r="H42" s="150">
        <v>9.5389999999999997</v>
      </c>
      <c r="I42" s="154">
        <v>0</v>
      </c>
      <c r="J42" s="148">
        <v>0</v>
      </c>
      <c r="K42" s="150"/>
      <c r="L42" s="154">
        <v>3.8220000000000001</v>
      </c>
      <c r="M42" s="148">
        <v>36</v>
      </c>
      <c r="N42" s="159">
        <v>5.896577708788331E-3</v>
      </c>
      <c r="O42" s="161">
        <v>2</v>
      </c>
      <c r="P42" s="163">
        <v>5.554940798937702E-2</v>
      </c>
      <c r="Q42" s="83" t="s">
        <v>67</v>
      </c>
      <c r="XFD42" s="133">
        <v>45846</v>
      </c>
    </row>
    <row r="43" spans="1:17 16384:16384" ht="15.75" customHeight="1" x14ac:dyDescent="0.2">
      <c r="A43" s="84" t="s">
        <v>160</v>
      </c>
      <c r="B43" s="85" t="s">
        <v>83</v>
      </c>
      <c r="C43" s="164">
        <v>45870.458333333336</v>
      </c>
      <c r="D43" s="164"/>
      <c r="E43" s="116">
        <v>146.86000000000001</v>
      </c>
      <c r="F43" s="81">
        <v>35</v>
      </c>
      <c r="G43" s="79">
        <v>0.24</v>
      </c>
      <c r="H43" s="153">
        <v>0.2331</v>
      </c>
      <c r="I43" s="154">
        <v>0</v>
      </c>
      <c r="J43" s="148">
        <v>0</v>
      </c>
      <c r="K43" s="150"/>
      <c r="L43" s="154">
        <v>146.86000000000001</v>
      </c>
      <c r="M43" s="148">
        <v>34</v>
      </c>
      <c r="N43" s="159">
        <v>5.5689900583000907E-3</v>
      </c>
      <c r="O43" s="170">
        <v>0</v>
      </c>
      <c r="P43" s="162">
        <v>-1.2706480304955647E-2</v>
      </c>
      <c r="Q43" s="83" t="s">
        <v>61</v>
      </c>
      <c r="XFD43" s="133">
        <v>45847</v>
      </c>
    </row>
    <row r="44" spans="1:17 16384:16384" ht="15.75" customHeight="1" x14ac:dyDescent="0.2">
      <c r="A44" s="84" t="s">
        <v>160</v>
      </c>
      <c r="B44" s="85" t="s">
        <v>89</v>
      </c>
      <c r="C44" s="164">
        <v>45870.458333333336</v>
      </c>
      <c r="D44" s="164"/>
      <c r="E44" s="115">
        <v>2.3740000000000001</v>
      </c>
      <c r="F44" s="148">
        <v>30</v>
      </c>
      <c r="G44" s="150">
        <v>12.55</v>
      </c>
      <c r="H44" s="153">
        <v>14.02</v>
      </c>
      <c r="I44" s="154">
        <v>0</v>
      </c>
      <c r="J44" s="148">
        <v>0</v>
      </c>
      <c r="K44" s="150"/>
      <c r="L44" s="154">
        <v>2.3740000000000001</v>
      </c>
      <c r="M44" s="148">
        <v>33</v>
      </c>
      <c r="N44" s="159">
        <v>5.4051962330559696E-3</v>
      </c>
      <c r="O44" s="161">
        <v>3</v>
      </c>
      <c r="P44" s="163">
        <v>0.11713147410358539</v>
      </c>
      <c r="Q44" s="83" t="s">
        <v>67</v>
      </c>
      <c r="XFD44" s="133">
        <v>45848</v>
      </c>
    </row>
    <row r="45" spans="1:17 16384:16384" ht="15.75" customHeight="1" x14ac:dyDescent="0.2">
      <c r="A45" s="84" t="s">
        <v>160</v>
      </c>
      <c r="B45" s="85" t="s">
        <v>82</v>
      </c>
      <c r="C45" s="164">
        <v>45870.458333333336</v>
      </c>
      <c r="D45" s="164"/>
      <c r="E45" s="115">
        <v>9.89</v>
      </c>
      <c r="F45" s="148">
        <v>24</v>
      </c>
      <c r="G45" s="150">
        <v>2.41</v>
      </c>
      <c r="H45" s="150">
        <v>2.6339999999999999</v>
      </c>
      <c r="I45" s="154">
        <v>0</v>
      </c>
      <c r="J45" s="148">
        <v>0</v>
      </c>
      <c r="K45" s="150"/>
      <c r="L45" s="154">
        <v>9.89</v>
      </c>
      <c r="M45" s="148">
        <v>26</v>
      </c>
      <c r="N45" s="159">
        <v>4.2586394563471274E-3</v>
      </c>
      <c r="O45" s="161">
        <v>2</v>
      </c>
      <c r="P45" s="163">
        <v>9.1135045567522721E-2</v>
      </c>
      <c r="Q45" s="83" t="s">
        <v>61</v>
      </c>
      <c r="XFD45" s="133">
        <v>45849</v>
      </c>
    </row>
    <row r="46" spans="1:17 16384:16384" ht="15.75" customHeight="1" x14ac:dyDescent="0.2">
      <c r="A46" s="14" t="s">
        <v>160</v>
      </c>
      <c r="B46" s="85" t="s">
        <v>87</v>
      </c>
      <c r="C46" s="173">
        <v>45870.458333333336</v>
      </c>
      <c r="D46" s="173"/>
      <c r="E46" s="117">
        <v>3.3</v>
      </c>
      <c r="F46" s="165">
        <v>23</v>
      </c>
      <c r="G46" s="168">
        <v>6.94</v>
      </c>
      <c r="H46" s="70">
        <v>7.12</v>
      </c>
      <c r="I46" s="174">
        <v>0</v>
      </c>
      <c r="J46" s="165">
        <v>0</v>
      </c>
      <c r="K46" s="168"/>
      <c r="L46" s="117">
        <v>3.3</v>
      </c>
      <c r="M46" s="165">
        <v>23</v>
      </c>
      <c r="N46" s="175">
        <v>3.7672579806147669E-3</v>
      </c>
      <c r="O46" s="178">
        <v>1</v>
      </c>
      <c r="P46" s="179">
        <v>2.593659942363102E-2</v>
      </c>
      <c r="Q46" s="83" t="s">
        <v>67</v>
      </c>
      <c r="XFD46" s="133">
        <v>45850</v>
      </c>
    </row>
    <row r="47" spans="1:17 16384:16384" ht="15.75" customHeight="1" x14ac:dyDescent="0.2">
      <c r="A47" s="84" t="s">
        <v>506</v>
      </c>
      <c r="B47" s="85" t="s">
        <v>49</v>
      </c>
      <c r="C47" s="164">
        <v>45396.458333333336</v>
      </c>
      <c r="D47" s="164">
        <v>45750.458333333336</v>
      </c>
      <c r="E47" s="115">
        <v>2.4E-2</v>
      </c>
      <c r="F47" s="148">
        <v>1404</v>
      </c>
      <c r="G47" s="150">
        <v>59220.88</v>
      </c>
      <c r="H47" s="153"/>
      <c r="I47" s="154">
        <v>2.4E-2</v>
      </c>
      <c r="J47" s="148">
        <v>2123</v>
      </c>
      <c r="K47" s="150">
        <v>89216.71</v>
      </c>
      <c r="L47" s="154">
        <v>0</v>
      </c>
      <c r="M47" s="148">
        <v>0</v>
      </c>
      <c r="N47" s="159"/>
      <c r="O47" s="161">
        <v>720</v>
      </c>
      <c r="P47" s="163">
        <v>0.51274918957125126</v>
      </c>
      <c r="Q47" s="83" t="s">
        <v>61</v>
      </c>
      <c r="XFD47" s="133"/>
    </row>
    <row r="48" spans="1:17 16384:16384" ht="15.75" customHeight="1" x14ac:dyDescent="0.2">
      <c r="A48" s="14" t="s">
        <v>506</v>
      </c>
      <c r="B48" s="85" t="s">
        <v>613</v>
      </c>
      <c r="C48" s="173">
        <v>45870.458333333336</v>
      </c>
      <c r="D48" s="173">
        <v>45870.458333333336</v>
      </c>
      <c r="E48" s="117">
        <v>387.7</v>
      </c>
      <c r="F48" s="165">
        <v>388</v>
      </c>
      <c r="G48" s="168">
        <v>1</v>
      </c>
      <c r="H48" s="168"/>
      <c r="I48" s="174">
        <v>387.7</v>
      </c>
      <c r="J48" s="165">
        <v>0</v>
      </c>
      <c r="K48" s="168">
        <v>0</v>
      </c>
      <c r="L48" s="174">
        <v>0</v>
      </c>
      <c r="M48" s="165">
        <v>0</v>
      </c>
      <c r="N48" s="175"/>
      <c r="O48" s="176">
        <v>-388</v>
      </c>
      <c r="P48" s="177">
        <v>-1</v>
      </c>
      <c r="Q48" s="83" t="s">
        <v>141</v>
      </c>
      <c r="XFD48" s="133"/>
    </row>
    <row r="49" spans="1:17 16384:16384" ht="15.75" customHeight="1" x14ac:dyDescent="0.2">
      <c r="A49" s="14"/>
      <c r="B49" s="85"/>
      <c r="F49" s="36"/>
      <c r="J49" s="36"/>
      <c r="Q49" s="83"/>
      <c r="XFD49" s="133"/>
    </row>
    <row r="50" spans="1:17 16384:16384" ht="15.75" customHeight="1" x14ac:dyDescent="0.2">
      <c r="F50" s="63"/>
      <c r="J50" s="63"/>
      <c r="M50" s="63"/>
      <c r="N50" s="63"/>
      <c r="Q50" s="83"/>
      <c r="XFD50" s="133"/>
    </row>
    <row r="51" spans="1:17 16384:16384" ht="15.75" customHeight="1" x14ac:dyDescent="0.2">
      <c r="F51" s="56"/>
      <c r="J51" s="56"/>
      <c r="M51" s="56"/>
      <c r="N51" s="56"/>
      <c r="Q51" s="83"/>
      <c r="XFD51" s="133"/>
    </row>
    <row r="52" spans="1:17 16384:16384" ht="15.75" customHeight="1" x14ac:dyDescent="0.2">
      <c r="F52" s="56"/>
      <c r="J52" s="56"/>
      <c r="M52" s="56"/>
      <c r="N52" s="56"/>
      <c r="XFD52" s="133"/>
    </row>
    <row r="53" spans="1:17 16384:16384" ht="15.75" customHeight="1" x14ac:dyDescent="0.2">
      <c r="C53" s="48"/>
      <c r="F53" s="63"/>
      <c r="J53" s="63"/>
      <c r="M53" s="63"/>
      <c r="N53" s="63"/>
      <c r="XFD53" s="133"/>
    </row>
    <row r="54" spans="1:17 16384:16384" ht="15.75" customHeight="1" x14ac:dyDescent="0.2">
      <c r="C54" s="48"/>
      <c r="F54" s="56"/>
      <c r="J54" s="62"/>
      <c r="M54" s="56"/>
      <c r="N54" s="56"/>
      <c r="XFD54" s="133">
        <v>45858</v>
      </c>
    </row>
    <row r="55" spans="1:17 16384:16384" ht="15.75" customHeight="1" x14ac:dyDescent="0.2">
      <c r="C55" s="48"/>
      <c r="F55" s="56"/>
      <c r="J55" s="62"/>
      <c r="M55" s="56"/>
      <c r="N55" s="56"/>
      <c r="XFD55" s="133">
        <v>45859</v>
      </c>
    </row>
    <row r="56" spans="1:17 16384:16384" ht="15.75" customHeight="1" x14ac:dyDescent="0.2">
      <c r="C56" s="48"/>
      <c r="F56" s="56"/>
      <c r="J56" s="62"/>
      <c r="M56" s="56"/>
      <c r="N56" s="56"/>
      <c r="XFD56" s="133">
        <v>45860</v>
      </c>
    </row>
    <row r="57" spans="1:17 16384:16384" ht="15.75" customHeight="1" x14ac:dyDescent="0.2">
      <c r="J57" s="62"/>
      <c r="M57" s="62"/>
      <c r="N57" s="62"/>
      <c r="XFD57" s="133">
        <v>45861</v>
      </c>
    </row>
    <row r="58" spans="1:17 16384:16384" ht="15.75" customHeight="1" x14ac:dyDescent="0.2">
      <c r="J58" s="62"/>
      <c r="M58" s="62"/>
      <c r="N58" s="62"/>
      <c r="XFD58" s="133">
        <v>45862</v>
      </c>
    </row>
    <row r="59" spans="1:17 16384:16384" ht="15.75" customHeight="1" x14ac:dyDescent="0.2">
      <c r="F59" s="56"/>
      <c r="J59" s="62"/>
      <c r="M59" s="62"/>
      <c r="N59" s="62"/>
      <c r="XFD59" s="133">
        <v>45863</v>
      </c>
    </row>
    <row r="60" spans="1:17 16384:16384" ht="15.75" customHeight="1" x14ac:dyDescent="0.2">
      <c r="F60" s="56"/>
      <c r="M60" s="62"/>
      <c r="N60" s="62"/>
      <c r="XFD60" s="133">
        <v>45864</v>
      </c>
    </row>
    <row r="61" spans="1:17 16384:16384" ht="15.75" customHeight="1" x14ac:dyDescent="0.2">
      <c r="M61" s="62"/>
      <c r="N61" s="62"/>
      <c r="XFD61" s="133">
        <v>45865</v>
      </c>
    </row>
    <row r="62" spans="1:17 16384:16384" ht="15.75" customHeight="1" x14ac:dyDescent="0.2">
      <c r="M62" s="62"/>
      <c r="N62" s="62"/>
      <c r="XFD62" s="133">
        <v>45866</v>
      </c>
    </row>
    <row r="63" spans="1:17 16384:16384" ht="15.75" customHeight="1" x14ac:dyDescent="0.2">
      <c r="M63" s="62"/>
      <c r="N63" s="62"/>
      <c r="XFD63" s="133">
        <v>45867</v>
      </c>
    </row>
    <row r="64" spans="1:17 16384:16384" ht="15.75" customHeight="1" x14ac:dyDescent="0.2">
      <c r="M64" s="62"/>
      <c r="N64" s="62"/>
      <c r="XFD64" s="133">
        <v>45868</v>
      </c>
    </row>
    <row r="65" spans="13:14 16384:16384" ht="15.75" customHeight="1" x14ac:dyDescent="0.2">
      <c r="M65" s="62"/>
      <c r="N65" s="62"/>
      <c r="XFD65" s="133">
        <v>45869</v>
      </c>
    </row>
    <row r="66" spans="13:14 16384:16384" ht="15.75" customHeight="1" x14ac:dyDescent="0.2">
      <c r="M66" s="62"/>
      <c r="N66" s="62"/>
      <c r="XFD66" s="133">
        <v>45870</v>
      </c>
    </row>
    <row r="67" spans="13:14 16384:16384" ht="15.75" customHeight="1" x14ac:dyDescent="0.2">
      <c r="M67" s="62"/>
      <c r="N67" s="62"/>
      <c r="XFD67" s="133">
        <v>45871</v>
      </c>
    </row>
    <row r="68" spans="13:14 16384:16384" ht="15.75" customHeight="1" x14ac:dyDescent="0.2">
      <c r="M68" s="62"/>
      <c r="N68" s="62"/>
      <c r="XFD68" s="133">
        <v>45872</v>
      </c>
    </row>
    <row r="69" spans="13:14 16384:16384" ht="15.75" customHeight="1" x14ac:dyDescent="0.2">
      <c r="XFD69" s="133">
        <v>45873</v>
      </c>
    </row>
    <row r="70" spans="13:14 16384:16384" ht="15.75" customHeight="1" x14ac:dyDescent="0.2">
      <c r="XFD70" s="133">
        <v>45874</v>
      </c>
    </row>
    <row r="71" spans="13:14 16384:16384" ht="15.75" customHeight="1" x14ac:dyDescent="0.2">
      <c r="XFD71" s="133">
        <v>45875</v>
      </c>
    </row>
    <row r="72" spans="13:14 16384:16384" ht="15.75" customHeight="1" x14ac:dyDescent="0.2">
      <c r="XFD72" s="133">
        <v>45876</v>
      </c>
    </row>
    <row r="73" spans="13:14 16384:16384" ht="15.75" customHeight="1" x14ac:dyDescent="0.2">
      <c r="XFD73" s="133">
        <v>45877</v>
      </c>
    </row>
    <row r="74" spans="13:14 16384:16384" ht="15.75" customHeight="1" x14ac:dyDescent="0.2">
      <c r="XFD74" s="133">
        <v>45878</v>
      </c>
    </row>
    <row r="75" spans="13:14 16384:16384" ht="15.75" customHeight="1" x14ac:dyDescent="0.2">
      <c r="XFD75" s="133">
        <v>45879</v>
      </c>
    </row>
    <row r="76" spans="13:14 16384:16384" ht="15.75" customHeight="1" x14ac:dyDescent="0.2">
      <c r="XFD76" s="133">
        <v>45880</v>
      </c>
    </row>
    <row r="77" spans="13:14 16384:16384" ht="15.75" customHeight="1" x14ac:dyDescent="0.2">
      <c r="XFD77" s="133">
        <v>45881</v>
      </c>
    </row>
    <row r="78" spans="13:14 16384:16384" ht="15.75" customHeight="1" x14ac:dyDescent="0.2">
      <c r="XFD78" s="133">
        <v>45882</v>
      </c>
    </row>
    <row r="79" spans="13:14 16384:16384" ht="15.75" customHeight="1" x14ac:dyDescent="0.2">
      <c r="XFD79" s="133">
        <v>45883</v>
      </c>
    </row>
    <row r="80" spans="13:14 16384:16384" ht="15.75" customHeight="1" x14ac:dyDescent="0.2">
      <c r="XFD80" s="133">
        <v>45884</v>
      </c>
    </row>
    <row r="81" spans="16384:16384" ht="15.75" customHeight="1" x14ac:dyDescent="0.2">
      <c r="XFD81" s="133">
        <v>45885</v>
      </c>
    </row>
    <row r="82" spans="16384:16384" ht="15.75" customHeight="1" x14ac:dyDescent="0.2">
      <c r="XFD82" s="133">
        <v>45886</v>
      </c>
    </row>
    <row r="83" spans="16384:16384" ht="15.75" customHeight="1" x14ac:dyDescent="0.2">
      <c r="XFD83" s="133">
        <v>45887</v>
      </c>
    </row>
    <row r="84" spans="16384:16384" ht="15.75" customHeight="1" x14ac:dyDescent="0.2">
      <c r="XFD84" s="133">
        <v>45888</v>
      </c>
    </row>
    <row r="85" spans="16384:16384" ht="15.75" customHeight="1" x14ac:dyDescent="0.2">
      <c r="XFD85" s="133">
        <v>45889</v>
      </c>
    </row>
    <row r="86" spans="16384:16384" ht="15.75" customHeight="1" x14ac:dyDescent="0.2">
      <c r="XFD86" s="133">
        <v>45890</v>
      </c>
    </row>
    <row r="87" spans="16384:16384" ht="15.75" customHeight="1" x14ac:dyDescent="0.2">
      <c r="XFD87" s="133">
        <v>45891</v>
      </c>
    </row>
    <row r="88" spans="16384:16384" ht="15.75" customHeight="1" x14ac:dyDescent="0.2">
      <c r="XFD88" s="133">
        <v>45892</v>
      </c>
    </row>
    <row r="89" spans="16384:16384" ht="15.75" customHeight="1" x14ac:dyDescent="0.2">
      <c r="XFD89" s="133">
        <v>45893</v>
      </c>
    </row>
    <row r="90" spans="16384:16384" ht="15.75" customHeight="1" x14ac:dyDescent="0.2">
      <c r="XFD90" s="133">
        <v>45894</v>
      </c>
    </row>
    <row r="91" spans="16384:16384" ht="15.75" customHeight="1" x14ac:dyDescent="0.2">
      <c r="XFD91" s="133">
        <v>45895</v>
      </c>
    </row>
    <row r="92" spans="16384:16384" ht="15.75" customHeight="1" x14ac:dyDescent="0.2">
      <c r="XFD92" s="133">
        <v>45896</v>
      </c>
    </row>
    <row r="93" spans="16384:16384" ht="15.75" customHeight="1" x14ac:dyDescent="0.2">
      <c r="XFD93" s="133">
        <v>45897</v>
      </c>
    </row>
    <row r="94" spans="16384:16384" ht="15.75" customHeight="1" x14ac:dyDescent="0.2">
      <c r="XFD94" s="133">
        <v>45898</v>
      </c>
    </row>
    <row r="95" spans="16384:16384" ht="15.75" customHeight="1" x14ac:dyDescent="0.2">
      <c r="XFD95" s="133">
        <v>45899</v>
      </c>
    </row>
    <row r="96" spans="16384:16384" ht="15.75" customHeight="1" x14ac:dyDescent="0.2">
      <c r="XFD96" s="133">
        <v>45900</v>
      </c>
    </row>
    <row r="97" spans="16384:16384" ht="15.75" customHeight="1" x14ac:dyDescent="0.2">
      <c r="XFD97" s="133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autoFilter ref="A30:D37" xr:uid="{00000000-0009-0000-0000-000001000000}"/>
  <sortState xmlns:xlrd2="http://schemas.microsoft.com/office/spreadsheetml/2017/richdata2" ref="A31:Q48">
    <sortCondition descending="1" ref="N31"/>
  </sortState>
  <mergeCells count="14"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  <mergeCell ref="A5:C5"/>
    <mergeCell ref="D12:E12"/>
    <mergeCell ref="D18:E18"/>
  </mergeCells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8</xdr:col>
                    <xdr:colOff>0</xdr:colOff>
                    <xdr:row>0</xdr:row>
                    <xdr:rowOff>133350</xdr:rowOff>
                  </from>
                  <to>
                    <xdr:col>9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45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102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55</v>
      </c>
      <c r="O8" s="11" t="s">
        <v>24</v>
      </c>
      <c r="P8" s="11" t="s">
        <v>25</v>
      </c>
      <c r="Q8" s="34" t="s">
        <v>54</v>
      </c>
    </row>
    <row r="9" spans="1:19" ht="15.75" customHeight="1" x14ac:dyDescent="0.2">
      <c r="A9" s="13" t="s">
        <v>26</v>
      </c>
      <c r="B9" s="14" t="s">
        <v>49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73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56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74</v>
      </c>
    </row>
    <row r="12" spans="1:19" ht="15.75" customHeight="1" x14ac:dyDescent="0.2">
      <c r="A12" s="13" t="s">
        <v>33</v>
      </c>
      <c r="B12" s="67" t="s">
        <v>80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56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56</v>
      </c>
    </row>
    <row r="14" spans="1:19" ht="15" customHeight="1" x14ac:dyDescent="0.2">
      <c r="A14" s="13" t="s">
        <v>33</v>
      </c>
      <c r="B14" s="67" t="s">
        <v>101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56</v>
      </c>
    </row>
    <row r="15" spans="1:19" ht="15" customHeight="1" x14ac:dyDescent="0.2">
      <c r="A15" s="13" t="s">
        <v>33</v>
      </c>
      <c r="B15" s="66" t="s">
        <v>85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56</v>
      </c>
    </row>
    <row r="16" spans="1:19" ht="15" customHeight="1" x14ac:dyDescent="0.2">
      <c r="A16" s="13" t="s">
        <v>33</v>
      </c>
      <c r="B16" s="66" t="s">
        <v>83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56</v>
      </c>
    </row>
    <row r="17" spans="1:18" ht="15" customHeight="1" x14ac:dyDescent="0.2">
      <c r="A17" s="13" t="s">
        <v>33</v>
      </c>
      <c r="B17" s="66" t="s">
        <v>82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56</v>
      </c>
    </row>
    <row r="18" spans="1:18" ht="15" customHeight="1" x14ac:dyDescent="0.2">
      <c r="A18" s="13"/>
      <c r="B18" s="67" t="s">
        <v>111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74</v>
      </c>
    </row>
    <row r="19" spans="1:18" ht="15" customHeight="1" x14ac:dyDescent="0.2">
      <c r="A19" s="13" t="s">
        <v>33</v>
      </c>
      <c r="B19" s="67" t="s">
        <v>79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74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90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74</v>
      </c>
    </row>
    <row r="22" spans="1:18" ht="15" customHeight="1" x14ac:dyDescent="0.2">
      <c r="A22" s="13" t="s">
        <v>33</v>
      </c>
      <c r="B22" s="67" t="s">
        <v>88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74</v>
      </c>
    </row>
    <row r="23" spans="1:18" ht="15" customHeight="1" x14ac:dyDescent="0.2">
      <c r="A23" s="13" t="s">
        <v>33</v>
      </c>
      <c r="B23" s="67" t="s">
        <v>89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74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87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74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57</v>
      </c>
      <c r="R27" t="s">
        <v>58</v>
      </c>
    </row>
    <row r="28" spans="1:18" ht="15.75" customHeight="1" x14ac:dyDescent="0.2">
      <c r="A28" s="13" t="s">
        <v>33</v>
      </c>
      <c r="B28" s="14" t="s">
        <v>46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57</v>
      </c>
      <c r="R28" t="s">
        <v>58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0" activePane="bottomLeft" state="frozen"/>
      <selection pane="bottomLeft" activeCell="G61" sqref="G61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63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6" t="s">
        <v>107</v>
      </c>
      <c r="B2" s="106" t="s">
        <v>112</v>
      </c>
      <c r="C2" s="106" t="s">
        <v>113</v>
      </c>
      <c r="D2" s="107" t="s">
        <v>114</v>
      </c>
      <c r="E2" s="107" t="s">
        <v>122</v>
      </c>
      <c r="F2" s="107" t="s">
        <v>115</v>
      </c>
      <c r="G2" s="108" t="s">
        <v>116</v>
      </c>
      <c r="H2" s="109" t="s">
        <v>134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117</v>
      </c>
      <c r="C3" s="111"/>
      <c r="D3" s="111"/>
      <c r="E3" s="111"/>
      <c r="F3" s="111">
        <f>118-45+100+14+40</f>
        <v>227</v>
      </c>
      <c r="G3" s="112" t="s">
        <v>158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118</v>
      </c>
      <c r="C4" s="113" t="s">
        <v>34</v>
      </c>
      <c r="D4" s="111">
        <v>3503</v>
      </c>
      <c r="E4" s="111">
        <f>40/D4</f>
        <v>1.1418783899514702E-2</v>
      </c>
      <c r="F4" s="111">
        <v>40</v>
      </c>
      <c r="G4" s="112" t="s">
        <v>159</v>
      </c>
      <c r="H4" s="25" t="s">
        <v>61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117</v>
      </c>
      <c r="C5" s="25"/>
      <c r="D5" s="25"/>
      <c r="E5" s="25"/>
      <c r="F5" s="25">
        <v>200</v>
      </c>
      <c r="G5" s="25" t="s">
        <v>47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117</v>
      </c>
      <c r="C6" s="25"/>
      <c r="D6" s="25"/>
      <c r="E6" s="25"/>
      <c r="F6" s="25">
        <v>75</v>
      </c>
      <c r="G6" s="25" t="s">
        <v>48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118</v>
      </c>
      <c r="C7" s="25" t="s">
        <v>49</v>
      </c>
      <c r="D7" s="25">
        <v>64306</v>
      </c>
      <c r="E7" s="25">
        <v>3.1E-4</v>
      </c>
      <c r="F7" s="25">
        <f>D7*E7</f>
        <v>19.93486</v>
      </c>
      <c r="G7" s="25" t="s">
        <v>50</v>
      </c>
      <c r="H7" s="25" t="s">
        <v>61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117</v>
      </c>
      <c r="C8" s="25"/>
      <c r="D8" s="25"/>
      <c r="E8" s="25"/>
      <c r="F8" s="25">
        <v>189</v>
      </c>
      <c r="G8" s="25" t="s">
        <v>51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118</v>
      </c>
      <c r="C9" s="25" t="s">
        <v>49</v>
      </c>
      <c r="D9" s="25">
        <v>60000</v>
      </c>
      <c r="E9" s="25">
        <v>1.57E-3</v>
      </c>
      <c r="F9" s="25">
        <f>D9*E9</f>
        <v>94.2</v>
      </c>
      <c r="G9" s="25" t="s">
        <v>52</v>
      </c>
      <c r="H9" s="25" t="s">
        <v>61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118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53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117</v>
      </c>
      <c r="C11" s="25"/>
      <c r="D11" s="25"/>
      <c r="E11" s="25"/>
      <c r="F11" s="25">
        <v>581</v>
      </c>
      <c r="G11" s="25" t="s">
        <v>60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118</v>
      </c>
      <c r="C12" s="25" t="s">
        <v>49</v>
      </c>
      <c r="D12" s="25">
        <v>65000</v>
      </c>
      <c r="E12" s="25">
        <v>6.1500000000000001E-3</v>
      </c>
      <c r="F12" s="25">
        <f>D12*E12</f>
        <v>399.75</v>
      </c>
      <c r="G12" s="25" t="s">
        <v>70</v>
      </c>
      <c r="H12" s="25" t="s">
        <v>61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118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59</v>
      </c>
      <c r="H13" s="25" t="s">
        <v>61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117</v>
      </c>
      <c r="C14" s="25"/>
      <c r="D14" s="25"/>
      <c r="E14" s="25"/>
      <c r="F14" s="25">
        <v>577</v>
      </c>
      <c r="G14" s="25" t="s">
        <v>64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118</v>
      </c>
      <c r="C15" s="25" t="s">
        <v>49</v>
      </c>
      <c r="D15" s="25">
        <v>60000</v>
      </c>
      <c r="E15" s="25">
        <v>6.6699999999999997E-3</v>
      </c>
      <c r="F15" s="25">
        <f>D15*E15</f>
        <v>400.2</v>
      </c>
      <c r="G15" s="25" t="s">
        <v>66</v>
      </c>
      <c r="H15" s="25" t="s">
        <v>67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118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65</v>
      </c>
      <c r="H16" s="25" t="s">
        <v>67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117</v>
      </c>
      <c r="C17" s="25"/>
      <c r="D17" s="25"/>
      <c r="E17" s="25"/>
      <c r="F17" s="25">
        <v>384</v>
      </c>
      <c r="G17" s="25" t="s">
        <v>62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118</v>
      </c>
      <c r="C18" s="25" t="s">
        <v>49</v>
      </c>
      <c r="D18" s="25">
        <v>55000</v>
      </c>
      <c r="E18" s="25">
        <v>3.4499999999999999E-3</v>
      </c>
      <c r="F18" s="25">
        <f>D18*E18</f>
        <v>189.75</v>
      </c>
      <c r="G18" s="25" t="s">
        <v>68</v>
      </c>
      <c r="H18" s="25" t="s">
        <v>61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118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69</v>
      </c>
      <c r="H19" s="25" t="s">
        <v>61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117</v>
      </c>
      <c r="C20" s="25"/>
      <c r="D20" s="25"/>
      <c r="E20" s="25"/>
      <c r="F20" s="25">
        <v>792</v>
      </c>
      <c r="G20" s="25" t="s">
        <v>76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118</v>
      </c>
      <c r="C21" s="25" t="s">
        <v>49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71</v>
      </c>
      <c r="H21" s="25" t="s">
        <v>67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118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72</v>
      </c>
      <c r="H22" s="25" t="s">
        <v>67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120</v>
      </c>
      <c r="C23" s="25" t="s">
        <v>49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78</v>
      </c>
      <c r="H23" s="25" t="s">
        <v>67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118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77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120</v>
      </c>
      <c r="C25" s="25" t="s">
        <v>49</v>
      </c>
      <c r="D25" s="25">
        <v>93000</v>
      </c>
      <c r="E25" s="25">
        <v>3.0000000000000001E-3</v>
      </c>
      <c r="F25" s="25">
        <f t="shared" si="0"/>
        <v>279</v>
      </c>
      <c r="G25" s="110" t="s">
        <v>98</v>
      </c>
      <c r="H25" s="25" t="s">
        <v>67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120</v>
      </c>
      <c r="C26" s="25" t="s">
        <v>49</v>
      </c>
      <c r="D26" s="25">
        <v>94000</v>
      </c>
      <c r="E26" s="25">
        <v>6.0000000000000001E-3</v>
      </c>
      <c r="F26" s="25">
        <f t="shared" si="0"/>
        <v>564</v>
      </c>
      <c r="G26" s="110" t="s">
        <v>98</v>
      </c>
      <c r="H26" s="25" t="s">
        <v>61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120</v>
      </c>
      <c r="C27" s="25" t="s">
        <v>49</v>
      </c>
      <c r="D27" s="25">
        <v>100000</v>
      </c>
      <c r="E27" s="25">
        <v>2.7399999999999998E-3</v>
      </c>
      <c r="F27" s="25">
        <f t="shared" si="0"/>
        <v>274</v>
      </c>
      <c r="G27" s="110" t="s">
        <v>81</v>
      </c>
      <c r="H27" s="25" t="s">
        <v>61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117</v>
      </c>
      <c r="C28" s="25"/>
      <c r="D28" s="25"/>
      <c r="E28" s="25"/>
      <c r="F28" s="25">
        <v>115.38</v>
      </c>
      <c r="G28" s="25" t="s">
        <v>103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120</v>
      </c>
      <c r="C29" s="25" t="s">
        <v>49</v>
      </c>
      <c r="D29" s="25">
        <v>104215</v>
      </c>
      <c r="E29" s="25">
        <v>7.3999999999999999E-4</v>
      </c>
      <c r="F29" s="25">
        <f>D29*E29</f>
        <v>77.119100000000003</v>
      </c>
      <c r="G29" s="110" t="s">
        <v>84</v>
      </c>
      <c r="H29" s="25" t="s">
        <v>61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117</v>
      </c>
      <c r="C30" s="25"/>
      <c r="D30" s="25"/>
      <c r="E30" s="25"/>
      <c r="F30" s="25">
        <v>384.6</v>
      </c>
      <c r="G30" s="25" t="s">
        <v>104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118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86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118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91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120</v>
      </c>
      <c r="C33" s="25" t="s">
        <v>49</v>
      </c>
      <c r="D33" s="25">
        <v>99000</v>
      </c>
      <c r="E33" s="25">
        <v>3.21419E-3</v>
      </c>
      <c r="F33" s="25">
        <f>D33*E33</f>
        <v>318.20481000000001</v>
      </c>
      <c r="G33" s="25" t="s">
        <v>92</v>
      </c>
      <c r="H33" s="25" t="s">
        <v>67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120</v>
      </c>
      <c r="C34" s="25" t="s">
        <v>49</v>
      </c>
      <c r="D34" s="25">
        <v>103753</v>
      </c>
      <c r="E34" s="25">
        <v>1.0399999999999999E-4</v>
      </c>
      <c r="F34" s="25">
        <f>D34*E34</f>
        <v>10.790312</v>
      </c>
      <c r="G34" s="25" t="s">
        <v>99</v>
      </c>
      <c r="H34" s="25" t="s">
        <v>67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120</v>
      </c>
      <c r="C35" s="25" t="s">
        <v>49</v>
      </c>
      <c r="D35" s="25">
        <v>83000</v>
      </c>
      <c r="E35" s="25">
        <v>2E-3</v>
      </c>
      <c r="F35" s="25">
        <f>D35*E35</f>
        <v>166</v>
      </c>
      <c r="G35" s="25" t="s">
        <v>100</v>
      </c>
      <c r="H35" s="25" t="s">
        <v>61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117</v>
      </c>
      <c r="C36" s="25"/>
      <c r="D36" s="25"/>
      <c r="E36" s="25"/>
      <c r="F36" s="25">
        <v>1104</v>
      </c>
      <c r="G36" s="25" t="s">
        <v>105</v>
      </c>
      <c r="H36" s="25" t="s">
        <v>61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119</v>
      </c>
      <c r="C37" s="25"/>
      <c r="D37" s="25"/>
      <c r="E37" s="25"/>
      <c r="F37" s="25">
        <v>300</v>
      </c>
      <c r="G37" s="25" t="s">
        <v>612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118</v>
      </c>
      <c r="C38" s="25" t="s">
        <v>80</v>
      </c>
      <c r="D38" s="25">
        <v>757.8</v>
      </c>
      <c r="E38" s="25">
        <v>0.58620000000000005</v>
      </c>
      <c r="F38" s="25">
        <f t="shared" ref="F38:F55" si="1">D38*E38</f>
        <v>444.22236000000004</v>
      </c>
      <c r="G38" s="25" t="s">
        <v>157</v>
      </c>
      <c r="H38" s="25" t="s">
        <v>61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118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157</v>
      </c>
      <c r="H39" s="25" t="s">
        <v>61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118</v>
      </c>
      <c r="C40" s="25" t="s">
        <v>101</v>
      </c>
      <c r="D40" s="25">
        <v>3.45</v>
      </c>
      <c r="E40" s="25">
        <v>25.1</v>
      </c>
      <c r="F40" s="25">
        <f t="shared" si="1"/>
        <v>86.595000000000013</v>
      </c>
      <c r="G40" s="25" t="s">
        <v>157</v>
      </c>
      <c r="H40" s="25" t="s">
        <v>61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118</v>
      </c>
      <c r="C41" s="25" t="s">
        <v>85</v>
      </c>
      <c r="D41" s="25">
        <v>2.2599999999999999E-2</v>
      </c>
      <c r="E41" s="25">
        <v>2059</v>
      </c>
      <c r="F41" s="25">
        <f t="shared" si="1"/>
        <v>46.5334</v>
      </c>
      <c r="G41" s="25" t="s">
        <v>157</v>
      </c>
      <c r="H41" s="25" t="s">
        <v>61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118</v>
      </c>
      <c r="C42" s="25" t="s">
        <v>83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157</v>
      </c>
      <c r="H42" s="25" t="s">
        <v>61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118</v>
      </c>
      <c r="C43" s="25" t="s">
        <v>82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157</v>
      </c>
      <c r="H43" s="25" t="s">
        <v>61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118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157</v>
      </c>
      <c r="H44" s="25" t="s">
        <v>67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118</v>
      </c>
      <c r="C45" s="25" t="s">
        <v>79</v>
      </c>
      <c r="D45" s="25">
        <v>0.96399999999999997</v>
      </c>
      <c r="E45" s="25">
        <v>93.75</v>
      </c>
      <c r="F45" s="25">
        <f t="shared" si="1"/>
        <v>90.375</v>
      </c>
      <c r="G45" s="25" t="s">
        <v>157</v>
      </c>
      <c r="H45" s="25" t="s">
        <v>67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118</v>
      </c>
      <c r="C46" s="25" t="s">
        <v>111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157</v>
      </c>
      <c r="H46" s="25" t="s">
        <v>67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118</v>
      </c>
      <c r="C47" s="25" t="s">
        <v>90</v>
      </c>
      <c r="D47" s="25">
        <v>16.07</v>
      </c>
      <c r="E47" s="25">
        <v>2.5</v>
      </c>
      <c r="F47" s="25">
        <f t="shared" si="1"/>
        <v>40.174999999999997</v>
      </c>
      <c r="G47" s="25" t="s">
        <v>157</v>
      </c>
      <c r="H47" s="25" t="s">
        <v>67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118</v>
      </c>
      <c r="C48" s="25" t="s">
        <v>88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157</v>
      </c>
      <c r="H48" s="25" t="s">
        <v>67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118</v>
      </c>
      <c r="C49" s="25" t="s">
        <v>89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157</v>
      </c>
      <c r="H49" s="25" t="s">
        <v>67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118</v>
      </c>
      <c r="C50" s="25" t="s">
        <v>87</v>
      </c>
      <c r="D50" s="25">
        <v>6.94</v>
      </c>
      <c r="E50" s="25">
        <v>3.3</v>
      </c>
      <c r="F50" s="25">
        <f t="shared" si="1"/>
        <v>22.902000000000001</v>
      </c>
      <c r="G50" s="25" t="s">
        <v>157</v>
      </c>
      <c r="H50" s="25" t="s">
        <v>67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118</v>
      </c>
      <c r="C51" s="25" t="s">
        <v>613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141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120</v>
      </c>
      <c r="C52" s="25" t="s">
        <v>613</v>
      </c>
      <c r="D52" s="25">
        <v>0</v>
      </c>
      <c r="E52" s="25">
        <v>387.7</v>
      </c>
      <c r="F52" s="25">
        <f t="shared" si="1"/>
        <v>0</v>
      </c>
      <c r="G52" s="25" t="s">
        <v>614</v>
      </c>
      <c r="H52" s="25" t="s">
        <v>141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118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121</v>
      </c>
      <c r="H53" s="25" t="s">
        <v>61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118</v>
      </c>
      <c r="C54" s="25" t="s">
        <v>154</v>
      </c>
      <c r="D54" s="25">
        <v>1.2206999999999999</v>
      </c>
      <c r="E54" s="25">
        <v>81.92</v>
      </c>
      <c r="F54" s="25">
        <f t="shared" si="1"/>
        <v>99.999743999999993</v>
      </c>
      <c r="G54" s="110" t="s">
        <v>156</v>
      </c>
      <c r="H54" s="25" t="s">
        <v>141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118</v>
      </c>
      <c r="C55" s="25" t="s">
        <v>155</v>
      </c>
      <c r="D55" s="25">
        <v>50.74</v>
      </c>
      <c r="E55" s="25">
        <v>1.97</v>
      </c>
      <c r="F55" s="25">
        <f t="shared" si="1"/>
        <v>99.957800000000006</v>
      </c>
      <c r="G55" s="110" t="s">
        <v>156</v>
      </c>
      <c r="H55" s="25" t="s">
        <v>141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118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120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118</v>
      </c>
      <c r="C3" s="20" t="s">
        <v>49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120</v>
      </c>
      <c r="C4" s="20" t="s">
        <v>49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107</v>
      </c>
      <c r="B9" s="21" t="s">
        <v>112</v>
      </c>
      <c r="C9" s="21" t="s">
        <v>113</v>
      </c>
      <c r="D9" s="22" t="s">
        <v>114</v>
      </c>
      <c r="E9" s="22" t="s">
        <v>122</v>
      </c>
      <c r="F9" s="22" t="s">
        <v>115</v>
      </c>
    </row>
    <row r="10" spans="1:6" x14ac:dyDescent="0.2">
      <c r="A10" s="71">
        <v>44873</v>
      </c>
      <c r="B10" s="25" t="s">
        <v>117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118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119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117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120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117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117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118</v>
      </c>
      <c r="C17" s="25" t="s">
        <v>49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117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118</v>
      </c>
      <c r="C19" s="25" t="s">
        <v>49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118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117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118</v>
      </c>
      <c r="C22" s="25" t="s">
        <v>49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118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117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118</v>
      </c>
      <c r="C25" s="25" t="s">
        <v>49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118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117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118</v>
      </c>
      <c r="C28" s="25" t="s">
        <v>49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118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117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118</v>
      </c>
      <c r="C31" s="25" t="s">
        <v>49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118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120</v>
      </c>
      <c r="C33" s="59" t="s">
        <v>49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118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120</v>
      </c>
      <c r="C35" s="20" t="s">
        <v>49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120</v>
      </c>
      <c r="C36" s="20" t="s">
        <v>49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120</v>
      </c>
      <c r="C37" s="20" t="s">
        <v>49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117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120</v>
      </c>
      <c r="C39" s="20" t="s">
        <v>49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117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118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118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120</v>
      </c>
      <c r="C43" s="20" t="s">
        <v>49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120</v>
      </c>
      <c r="C44" s="20" t="s">
        <v>49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120</v>
      </c>
      <c r="C45" s="20" t="s">
        <v>49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117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118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32"/>
  <sheetViews>
    <sheetView zoomScale="115" zoomScaleNormal="115" workbookViewId="0">
      <pane ySplit="1" topLeftCell="A511" activePane="bottomLeft" state="frozen"/>
      <selection pane="bottomLeft" activeCell="L539" sqref="L539"/>
    </sheetView>
  </sheetViews>
  <sheetFormatPr defaultRowHeight="12.75" x14ac:dyDescent="0.2"/>
  <cols>
    <col min="1" max="1" width="10.140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44.140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7" bestFit="1" customWidth="1"/>
    <col min="19" max="21" width="5.5703125" style="23" bestFit="1" customWidth="1"/>
  </cols>
  <sheetData>
    <row r="1" spans="1:21" s="94" customFormat="1" ht="31.5" customHeight="1" x14ac:dyDescent="0.2">
      <c r="A1" s="88" t="s">
        <v>107</v>
      </c>
      <c r="B1" s="89" t="s">
        <v>142</v>
      </c>
      <c r="C1" s="89" t="s">
        <v>113</v>
      </c>
      <c r="D1" s="89" t="s">
        <v>0</v>
      </c>
      <c r="E1" s="89" t="s">
        <v>108</v>
      </c>
      <c r="F1" s="89" t="s">
        <v>109</v>
      </c>
      <c r="G1" s="89" t="s">
        <v>110</v>
      </c>
      <c r="H1" s="86" t="s">
        <v>49</v>
      </c>
      <c r="I1" s="86" t="s">
        <v>147</v>
      </c>
      <c r="J1" s="86" t="s">
        <v>146</v>
      </c>
      <c r="K1" s="86" t="s">
        <v>145</v>
      </c>
      <c r="L1" s="99" t="s">
        <v>150</v>
      </c>
      <c r="M1" s="90"/>
      <c r="N1" s="91"/>
      <c r="O1" s="89"/>
      <c r="P1" s="89"/>
      <c r="Q1" s="92"/>
      <c r="R1" s="93"/>
      <c r="S1" s="89"/>
      <c r="T1" s="89"/>
      <c r="U1" s="89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161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162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163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163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163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163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164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165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161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161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161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162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166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167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168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168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169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170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171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172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172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173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174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175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175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176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177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177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178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179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180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181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182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176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183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170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184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169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185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186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186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187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188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189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190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191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192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193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194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195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196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197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198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199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197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200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201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202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203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204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203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205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203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206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207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208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207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209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209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210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211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212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213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214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215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216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217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218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219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220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221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222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223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224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225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226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227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228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229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230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231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232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233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234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235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236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237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238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239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240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241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242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243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244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245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246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247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248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249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250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251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252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253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254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255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256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257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258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259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260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261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262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263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264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265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266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267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268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269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270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271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272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273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274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275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276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277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278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279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280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281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282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283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284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285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286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287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288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289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290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291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292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293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294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295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296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297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298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299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300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301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302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303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304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305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306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307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308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309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310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311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312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313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314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315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316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317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318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319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320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321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322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323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324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325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326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327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327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328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329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330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331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332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333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334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335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336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337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338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339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340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341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342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343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344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345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346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347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348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349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350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351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352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353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354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355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356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357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358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359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360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361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362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363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364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365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366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367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368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369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370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371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372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373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374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375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376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377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378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379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380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381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382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383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384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385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386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387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388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389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390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391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392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393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394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395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396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397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398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399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400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401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402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403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404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405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406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407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408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409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410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411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412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413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414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415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416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417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418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419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420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421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422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423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424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425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426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427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428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429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430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431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432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433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434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435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436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437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438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439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440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441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442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443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444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445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446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447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448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449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450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451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452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453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454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455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456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457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458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459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460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461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462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463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464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465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461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466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467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468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469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470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471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472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473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474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475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476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477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478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479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480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481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482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483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484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485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486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487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488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489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490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491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492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493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494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495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496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497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498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499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500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501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502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503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504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505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507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507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508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509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510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511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512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513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514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515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516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517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518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519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520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521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522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521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523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524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525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526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527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528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529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530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531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532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533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534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535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536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528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507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537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538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539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540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541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542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543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544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545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546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547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548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549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550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551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552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553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554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551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555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556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557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558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554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549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559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560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561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560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562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547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550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563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543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564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565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566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567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554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568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569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563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553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570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571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572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573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574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575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576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577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578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579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580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581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582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583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584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585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586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583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587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588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589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590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591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592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593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594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595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596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597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598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599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600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601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602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603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604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605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606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607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608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609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610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611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3430</v>
      </c>
      <c r="J489" s="23">
        <v>390</v>
      </c>
      <c r="K489" s="23">
        <v>0</v>
      </c>
      <c r="L489" s="32" t="s">
        <v>615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5018</v>
      </c>
      <c r="E490" s="23">
        <v>4629</v>
      </c>
      <c r="F490" s="23">
        <v>300</v>
      </c>
      <c r="G490" s="23">
        <v>689</v>
      </c>
      <c r="H490" s="23">
        <v>0</v>
      </c>
      <c r="I490" s="23">
        <v>3338</v>
      </c>
      <c r="J490" s="23">
        <v>379</v>
      </c>
      <c r="K490" s="23">
        <v>0</v>
      </c>
      <c r="L490" s="32" t="s">
        <v>616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5131</v>
      </c>
      <c r="E491" s="23">
        <v>4629</v>
      </c>
      <c r="F491" s="23">
        <v>300</v>
      </c>
      <c r="G491" s="23">
        <v>802</v>
      </c>
      <c r="H491" s="23">
        <v>0</v>
      </c>
      <c r="I491" s="23">
        <v>3432</v>
      </c>
      <c r="J491" s="23">
        <v>396</v>
      </c>
      <c r="K491" s="23">
        <v>0</v>
      </c>
      <c r="L491" s="32" t="s">
        <v>617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5328</v>
      </c>
      <c r="E492" s="23">
        <v>4629</v>
      </c>
      <c r="F492" s="23">
        <v>300</v>
      </c>
      <c r="G492" s="23">
        <v>999</v>
      </c>
      <c r="H492" s="23">
        <v>0</v>
      </c>
      <c r="I492" s="23">
        <v>3615</v>
      </c>
      <c r="J492" s="23">
        <v>412</v>
      </c>
      <c r="K492" s="23">
        <v>0</v>
      </c>
      <c r="L492" s="32" t="s">
        <v>618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5204</v>
      </c>
      <c r="E493" s="23">
        <v>4629</v>
      </c>
      <c r="F493" s="23">
        <v>300</v>
      </c>
      <c r="G493" s="23">
        <v>875</v>
      </c>
      <c r="H493" s="23">
        <v>0</v>
      </c>
      <c r="I493" s="23">
        <v>3508</v>
      </c>
      <c r="J493" s="23">
        <v>396</v>
      </c>
      <c r="K493" s="23">
        <v>0</v>
      </c>
      <c r="L493" s="32" t="s">
        <v>619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5284</v>
      </c>
      <c r="E494" s="23">
        <v>4629</v>
      </c>
      <c r="F494" s="23">
        <v>300</v>
      </c>
      <c r="G494" s="23">
        <v>955</v>
      </c>
      <c r="H494" s="23">
        <v>0</v>
      </c>
      <c r="I494" s="23">
        <v>3580</v>
      </c>
      <c r="J494" s="23">
        <v>404</v>
      </c>
      <c r="K494" s="23">
        <v>0</v>
      </c>
      <c r="L494" s="32" t="s">
        <v>620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5506</v>
      </c>
      <c r="E495" s="23">
        <v>4629</v>
      </c>
      <c r="F495" s="23">
        <v>300</v>
      </c>
      <c r="G495" s="23">
        <v>1177</v>
      </c>
      <c r="H495" s="23">
        <v>0</v>
      </c>
      <c r="I495" s="23">
        <v>3772</v>
      </c>
      <c r="J495" s="23">
        <v>431</v>
      </c>
      <c r="K495" s="23">
        <v>0</v>
      </c>
      <c r="L495" s="32" t="s">
        <v>621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3839</v>
      </c>
      <c r="J496" s="23">
        <v>442</v>
      </c>
      <c r="K496" s="23">
        <v>0</v>
      </c>
      <c r="L496" s="32" t="s">
        <v>622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4002</v>
      </c>
      <c r="J497" s="23">
        <v>457</v>
      </c>
      <c r="K497" s="23">
        <v>0</v>
      </c>
      <c r="L497" s="32" t="s">
        <v>623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5768</v>
      </c>
      <c r="E498" s="23">
        <v>4629</v>
      </c>
      <c r="F498" s="23">
        <v>300</v>
      </c>
      <c r="G498" s="23">
        <v>1439</v>
      </c>
      <c r="H498" s="23">
        <v>0</v>
      </c>
      <c r="I498" s="23">
        <v>4011</v>
      </c>
      <c r="J498" s="23">
        <v>454</v>
      </c>
      <c r="K498" s="23">
        <v>0</v>
      </c>
      <c r="L498" s="32" t="s">
        <v>624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5681</v>
      </c>
      <c r="E499" s="23">
        <v>4629</v>
      </c>
      <c r="F499" s="23">
        <v>300</v>
      </c>
      <c r="G499" s="23">
        <v>1352</v>
      </c>
      <c r="H499" s="23">
        <v>0</v>
      </c>
      <c r="I499" s="23">
        <v>3946</v>
      </c>
      <c r="J499" s="23">
        <v>433</v>
      </c>
      <c r="K499" s="23">
        <v>0</v>
      </c>
      <c r="L499" s="32" t="s">
        <v>625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4268</v>
      </c>
      <c r="J500" s="23">
        <v>465</v>
      </c>
      <c r="K500" s="23">
        <v>0</v>
      </c>
      <c r="L500" s="32" t="s">
        <v>626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6222</v>
      </c>
      <c r="E501" s="23">
        <v>4629</v>
      </c>
      <c r="F501" s="23">
        <v>300</v>
      </c>
      <c r="G501" s="23">
        <v>1893</v>
      </c>
      <c r="H501" s="23">
        <v>0</v>
      </c>
      <c r="I501" s="23">
        <v>4436</v>
      </c>
      <c r="J501" s="23">
        <v>485</v>
      </c>
      <c r="K501" s="23">
        <v>0</v>
      </c>
      <c r="L501" s="32" t="s">
        <v>627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4283</v>
      </c>
      <c r="J502" s="23">
        <v>443</v>
      </c>
      <c r="K502" s="23">
        <v>0</v>
      </c>
      <c r="L502" s="32" t="s">
        <v>628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4195</v>
      </c>
      <c r="J503" s="23">
        <v>435</v>
      </c>
      <c r="K503" s="23">
        <v>0</v>
      </c>
      <c r="L503" s="32" t="s">
        <v>629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5946</v>
      </c>
      <c r="E504" s="23">
        <v>4629</v>
      </c>
      <c r="F504" s="23">
        <v>300</v>
      </c>
      <c r="G504" s="23">
        <v>1617</v>
      </c>
      <c r="H504" s="23">
        <v>0</v>
      </c>
      <c r="I504" s="23">
        <v>4201</v>
      </c>
      <c r="J504" s="23">
        <v>444</v>
      </c>
      <c r="K504" s="23">
        <v>0</v>
      </c>
      <c r="L504" s="32" t="s">
        <v>630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4258</v>
      </c>
      <c r="J505" s="23">
        <v>455</v>
      </c>
      <c r="K505" s="23">
        <v>0</v>
      </c>
      <c r="L505" s="32" t="s">
        <v>631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5852</v>
      </c>
      <c r="E506" s="23">
        <v>4629</v>
      </c>
      <c r="F506" s="23">
        <v>300</v>
      </c>
      <c r="G506" s="23">
        <v>1523</v>
      </c>
      <c r="H506" s="23">
        <v>0</v>
      </c>
      <c r="I506" s="23">
        <v>4315</v>
      </c>
      <c r="J506" s="23">
        <v>434</v>
      </c>
      <c r="K506" s="23">
        <v>0</v>
      </c>
      <c r="L506" s="32" t="s">
        <v>632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5606</v>
      </c>
      <c r="E507" s="23">
        <v>4629</v>
      </c>
      <c r="F507" s="23">
        <v>300</v>
      </c>
      <c r="G507" s="23">
        <v>1277</v>
      </c>
      <c r="H507" s="23">
        <v>0</v>
      </c>
      <c r="I507" s="23">
        <v>4094</v>
      </c>
      <c r="J507" s="23">
        <v>409</v>
      </c>
      <c r="K507" s="23">
        <v>0</v>
      </c>
      <c r="L507" s="32" t="s">
        <v>633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5882</v>
      </c>
      <c r="E508" s="23">
        <v>4629</v>
      </c>
      <c r="F508" s="23">
        <v>300</v>
      </c>
      <c r="G508" s="23">
        <v>1553</v>
      </c>
      <c r="H508" s="23">
        <v>0</v>
      </c>
      <c r="I508" s="23">
        <v>4342</v>
      </c>
      <c r="J508" s="23">
        <v>437</v>
      </c>
      <c r="K508" s="23">
        <v>0</v>
      </c>
      <c r="L508" s="32" t="s">
        <v>634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4212</v>
      </c>
      <c r="J509" s="23">
        <v>422</v>
      </c>
      <c r="K509" s="23">
        <v>0</v>
      </c>
      <c r="L509" s="32" t="s">
        <v>635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4739</v>
      </c>
      <c r="J510" s="23">
        <v>462</v>
      </c>
      <c r="K510" s="23">
        <v>0</v>
      </c>
      <c r="L510" s="32" t="s">
        <v>636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6260</v>
      </c>
      <c r="E511" s="23">
        <v>4629</v>
      </c>
      <c r="F511" s="23">
        <v>300</v>
      </c>
      <c r="G511" s="23">
        <v>1931</v>
      </c>
      <c r="H511" s="23">
        <v>0</v>
      </c>
      <c r="I511" s="23">
        <v>4701</v>
      </c>
      <c r="J511" s="23">
        <v>458</v>
      </c>
      <c r="K511" s="23">
        <v>0</v>
      </c>
      <c r="L511" s="32" t="s">
        <v>637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6254</v>
      </c>
      <c r="E512" s="23">
        <v>4629</v>
      </c>
      <c r="F512" s="23">
        <v>300</v>
      </c>
      <c r="G512" s="23">
        <v>1925</v>
      </c>
      <c r="H512" s="23">
        <v>0</v>
      </c>
      <c r="I512" s="23">
        <v>4704</v>
      </c>
      <c r="J512" s="23">
        <v>450</v>
      </c>
      <c r="K512" s="23">
        <v>0</v>
      </c>
      <c r="L512" s="32" t="s">
        <v>638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4323</v>
      </c>
      <c r="J513" s="23">
        <v>407</v>
      </c>
      <c r="K513" s="23">
        <v>0</v>
      </c>
      <c r="L513" s="32" t="s">
        <v>639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4523</v>
      </c>
      <c r="J514" s="23">
        <v>428</v>
      </c>
      <c r="K514" s="23">
        <v>0</v>
      </c>
      <c r="L514" s="32" t="s">
        <v>640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4483</v>
      </c>
      <c r="J515" s="23">
        <v>421</v>
      </c>
      <c r="K515" s="23">
        <v>0</v>
      </c>
      <c r="L515" s="32" t="s">
        <v>641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4548</v>
      </c>
      <c r="J516" s="23">
        <v>434</v>
      </c>
      <c r="K516" s="23">
        <v>0</v>
      </c>
      <c r="L516" s="32" t="s">
        <v>642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4392</v>
      </c>
      <c r="J517" s="23">
        <v>411</v>
      </c>
      <c r="K517" s="23">
        <v>0</v>
      </c>
      <c r="L517" s="32" t="s">
        <v>643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5904</v>
      </c>
      <c r="E518" s="23">
        <v>4629</v>
      </c>
      <c r="F518" s="23">
        <v>300</v>
      </c>
      <c r="G518" s="23">
        <v>1575</v>
      </c>
      <c r="H518" s="23">
        <v>0</v>
      </c>
      <c r="I518" s="23">
        <v>4391</v>
      </c>
      <c r="J518" s="23">
        <v>411</v>
      </c>
      <c r="K518" s="23">
        <v>0</v>
      </c>
      <c r="L518" s="32" t="s">
        <v>644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5891</v>
      </c>
      <c r="E519" s="23">
        <v>4629</v>
      </c>
      <c r="F519" s="23">
        <v>300</v>
      </c>
      <c r="G519" s="23">
        <v>1562</v>
      </c>
      <c r="H519" s="23">
        <v>0</v>
      </c>
      <c r="I519" s="23">
        <v>4386</v>
      </c>
      <c r="J519" s="23">
        <v>404</v>
      </c>
      <c r="K519" s="23">
        <v>0</v>
      </c>
      <c r="L519" s="32" t="s">
        <v>645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4313</v>
      </c>
      <c r="J520" s="23">
        <v>393</v>
      </c>
      <c r="K520" s="23">
        <v>0</v>
      </c>
      <c r="L520" s="32" t="s">
        <v>646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4389</v>
      </c>
      <c r="J521" s="23">
        <v>410</v>
      </c>
      <c r="K521" s="23">
        <v>0</v>
      </c>
      <c r="L521" s="32" t="s">
        <v>647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4473</v>
      </c>
      <c r="J522" s="23">
        <v>411</v>
      </c>
      <c r="K522" s="23">
        <v>0</v>
      </c>
      <c r="L522" s="32" t="s">
        <v>648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5825</v>
      </c>
      <c r="E523" s="23">
        <v>4629</v>
      </c>
      <c r="F523" s="23">
        <v>300</v>
      </c>
      <c r="G523" s="23">
        <v>1496</v>
      </c>
      <c r="H523" s="23">
        <v>0</v>
      </c>
      <c r="I523" s="23">
        <v>4327</v>
      </c>
      <c r="J523" s="23">
        <v>396</v>
      </c>
      <c r="K523" s="23">
        <v>0</v>
      </c>
      <c r="L523" s="32" t="s">
        <v>649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5859</v>
      </c>
      <c r="E524" s="23">
        <v>4629</v>
      </c>
      <c r="F524" s="23">
        <v>300</v>
      </c>
      <c r="G524" s="23">
        <v>1530</v>
      </c>
      <c r="H524" s="23">
        <v>0</v>
      </c>
      <c r="I524" s="23">
        <v>4352</v>
      </c>
      <c r="J524" s="23">
        <v>407</v>
      </c>
      <c r="K524" s="23">
        <v>0</v>
      </c>
      <c r="L524" s="32" t="s">
        <v>650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4319</v>
      </c>
      <c r="J525" s="23">
        <v>407</v>
      </c>
      <c r="K525" s="23">
        <v>0</v>
      </c>
      <c r="L525" s="32" t="s">
        <v>651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5902</v>
      </c>
      <c r="E526" s="23">
        <v>4629</v>
      </c>
      <c r="F526" s="23">
        <v>300</v>
      </c>
      <c r="G526" s="23">
        <v>1573</v>
      </c>
      <c r="H526" s="23">
        <v>0</v>
      </c>
      <c r="I526" s="23">
        <v>4382</v>
      </c>
      <c r="J526" s="23">
        <v>417</v>
      </c>
      <c r="K526" s="23">
        <v>0</v>
      </c>
      <c r="L526" s="32" t="s">
        <v>652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4429</v>
      </c>
      <c r="J527" s="23">
        <v>478</v>
      </c>
      <c r="K527" s="23">
        <v>0</v>
      </c>
      <c r="L527" s="32" t="s">
        <v>653</v>
      </c>
    </row>
    <row r="528" spans="1:12" x14ac:dyDescent="0.2">
      <c r="A528" s="69">
        <v>45909</v>
      </c>
      <c r="B528" s="23">
        <v>902</v>
      </c>
      <c r="C528" s="23">
        <v>5188</v>
      </c>
      <c r="D528" s="23">
        <v>6090</v>
      </c>
      <c r="E528" s="23">
        <v>4629</v>
      </c>
      <c r="F528" s="23">
        <v>300</v>
      </c>
      <c r="G528" s="23">
        <v>1761</v>
      </c>
      <c r="H528" s="23">
        <v>0</v>
      </c>
      <c r="I528" s="23">
        <v>4443</v>
      </c>
      <c r="J528" s="23">
        <v>513</v>
      </c>
      <c r="K528" s="23">
        <v>230</v>
      </c>
      <c r="L528" s="32" t="s">
        <v>654</v>
      </c>
    </row>
    <row r="529" spans="1:12" x14ac:dyDescent="0.2">
      <c r="A529" s="69">
        <v>45910</v>
      </c>
      <c r="B529" s="23">
        <v>902</v>
      </c>
      <c r="C529" s="23">
        <v>5279</v>
      </c>
      <c r="D529" s="23">
        <v>6181</v>
      </c>
      <c r="E529" s="23">
        <v>4629</v>
      </c>
      <c r="F529" s="23">
        <v>300</v>
      </c>
      <c r="G529" s="23">
        <v>1852</v>
      </c>
      <c r="H529" s="23">
        <v>0</v>
      </c>
      <c r="I529" s="23">
        <v>4515</v>
      </c>
      <c r="J529" s="23">
        <v>764</v>
      </c>
      <c r="K529" s="23">
        <v>0</v>
      </c>
      <c r="L529" s="32" t="s">
        <v>675</v>
      </c>
    </row>
    <row r="530" spans="1:12" x14ac:dyDescent="0.2">
      <c r="A530" s="69">
        <v>45911</v>
      </c>
      <c r="B530" s="23">
        <v>902</v>
      </c>
      <c r="C530" s="23">
        <v>5364</v>
      </c>
      <c r="D530" s="23">
        <v>6266</v>
      </c>
      <c r="E530" s="23">
        <v>4629</v>
      </c>
      <c r="F530" s="23">
        <v>300</v>
      </c>
      <c r="G530" s="23">
        <v>1937</v>
      </c>
      <c r="H530" s="23">
        <v>0</v>
      </c>
      <c r="I530" s="23">
        <v>4609</v>
      </c>
      <c r="J530" s="23">
        <v>754</v>
      </c>
      <c r="K530" s="23">
        <v>0</v>
      </c>
      <c r="L530" s="32" t="s">
        <v>676</v>
      </c>
    </row>
    <row r="531" spans="1:12" x14ac:dyDescent="0.2">
      <c r="A531" s="69">
        <v>45912</v>
      </c>
      <c r="B531" s="23">
        <v>902</v>
      </c>
      <c r="C531" s="23">
        <v>5585</v>
      </c>
      <c r="D531" s="23">
        <v>6487</v>
      </c>
      <c r="E531" s="23">
        <v>4629</v>
      </c>
      <c r="F531" s="23">
        <v>300</v>
      </c>
      <c r="G531" s="23">
        <v>2158</v>
      </c>
      <c r="H531" s="23">
        <v>0</v>
      </c>
      <c r="I531" s="23">
        <v>4824</v>
      </c>
      <c r="J531" s="23">
        <v>762</v>
      </c>
      <c r="K531" s="23">
        <v>0</v>
      </c>
      <c r="L531" s="32" t="s">
        <v>674</v>
      </c>
    </row>
    <row r="532" spans="1:12" x14ac:dyDescent="0.2">
      <c r="A532" s="69">
        <v>45913</v>
      </c>
      <c r="B532" s="23">
        <v>902</v>
      </c>
      <c r="C532" s="23">
        <v>5622</v>
      </c>
      <c r="D532" s="23">
        <v>6524</v>
      </c>
      <c r="E532" s="23">
        <v>4629</v>
      </c>
      <c r="F532" s="23">
        <v>300</v>
      </c>
      <c r="G532" s="23">
        <v>2195</v>
      </c>
      <c r="H532" s="23">
        <v>0</v>
      </c>
      <c r="I532" s="23">
        <v>4861</v>
      </c>
      <c r="J532" s="23">
        <v>763</v>
      </c>
      <c r="K532" s="23">
        <v>0</v>
      </c>
      <c r="L532" s="32" t="s">
        <v>677</v>
      </c>
    </row>
  </sheetData>
  <sortState xmlns:xlrd2="http://schemas.microsoft.com/office/spreadsheetml/2017/richdata2" ref="A2:L532">
    <sortCondition ref="A2:A53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16"/>
  <sheetViews>
    <sheetView zoomScale="190" zoomScaleNormal="190" workbookViewId="0">
      <selection activeCell="E20" sqref="E20"/>
    </sheetView>
  </sheetViews>
  <sheetFormatPr defaultRowHeight="12.75" x14ac:dyDescent="0.2"/>
  <cols>
    <col min="1" max="16384" width="9.140625" style="97"/>
  </cols>
  <sheetData>
    <row r="1" spans="1:4" x14ac:dyDescent="0.2">
      <c r="A1" s="98" t="s">
        <v>49</v>
      </c>
      <c r="B1" s="98" t="s">
        <v>147</v>
      </c>
      <c r="C1" s="98" t="s">
        <v>146</v>
      </c>
      <c r="D1" s="98" t="s">
        <v>145</v>
      </c>
    </row>
    <row r="2" spans="1:4" x14ac:dyDescent="0.2">
      <c r="A2" s="97" t="s">
        <v>49</v>
      </c>
      <c r="B2" s="97" t="s">
        <v>34</v>
      </c>
      <c r="C2" s="97" t="s">
        <v>41</v>
      </c>
      <c r="D2" s="97" t="s">
        <v>144</v>
      </c>
    </row>
    <row r="3" spans="1:4" x14ac:dyDescent="0.2">
      <c r="B3" s="97" t="s">
        <v>149</v>
      </c>
      <c r="C3" s="97" t="s">
        <v>46</v>
      </c>
      <c r="D3" s="97" t="s">
        <v>148</v>
      </c>
    </row>
    <row r="4" spans="1:4" x14ac:dyDescent="0.2">
      <c r="B4" s="97" t="s">
        <v>37</v>
      </c>
      <c r="C4" s="97" t="s">
        <v>42</v>
      </c>
      <c r="D4" s="97" t="s">
        <v>44</v>
      </c>
    </row>
    <row r="5" spans="1:4" x14ac:dyDescent="0.2">
      <c r="B5" s="97" t="s">
        <v>80</v>
      </c>
      <c r="C5" s="97" t="s">
        <v>153</v>
      </c>
      <c r="D5" s="97" t="s">
        <v>613</v>
      </c>
    </row>
    <row r="6" spans="1:4" x14ac:dyDescent="0.2">
      <c r="B6" s="97" t="s">
        <v>143</v>
      </c>
      <c r="C6" s="20" t="s">
        <v>85</v>
      </c>
    </row>
    <row r="7" spans="1:4" x14ac:dyDescent="0.2">
      <c r="B7" s="97" t="s">
        <v>35</v>
      </c>
      <c r="C7" s="20" t="s">
        <v>83</v>
      </c>
    </row>
    <row r="8" spans="1:4" x14ac:dyDescent="0.2">
      <c r="B8" s="97" t="s">
        <v>101</v>
      </c>
      <c r="C8" s="20" t="s">
        <v>82</v>
      </c>
    </row>
    <row r="9" spans="1:4" x14ac:dyDescent="0.2">
      <c r="C9" s="20" t="s">
        <v>79</v>
      </c>
    </row>
    <row r="10" spans="1:4" x14ac:dyDescent="0.2">
      <c r="C10" s="20" t="s">
        <v>111</v>
      </c>
    </row>
    <row r="11" spans="1:4" x14ac:dyDescent="0.2">
      <c r="C11" s="20" t="s">
        <v>90</v>
      </c>
    </row>
    <row r="12" spans="1:4" x14ac:dyDescent="0.2">
      <c r="C12" s="20" t="s">
        <v>88</v>
      </c>
    </row>
    <row r="13" spans="1:4" x14ac:dyDescent="0.2">
      <c r="C13" s="20" t="s">
        <v>89</v>
      </c>
    </row>
    <row r="14" spans="1:4" x14ac:dyDescent="0.2">
      <c r="C14" s="20" t="s">
        <v>87</v>
      </c>
    </row>
    <row r="15" spans="1:4" x14ac:dyDescent="0.2">
      <c r="C15" s="97" t="s">
        <v>154</v>
      </c>
    </row>
    <row r="16" spans="1:4" x14ac:dyDescent="0.2">
      <c r="C16" s="97" t="s">
        <v>155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48"/>
  <sheetViews>
    <sheetView zoomScale="160" zoomScaleNormal="160" workbookViewId="0">
      <selection activeCell="B3" sqref="B3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32" t="s">
        <v>666</v>
      </c>
    </row>
    <row r="2" spans="1:13" x14ac:dyDescent="0.2">
      <c r="A2" s="36"/>
    </row>
    <row r="3" spans="1:13" x14ac:dyDescent="0.2">
      <c r="A3" s="36" t="s">
        <v>667</v>
      </c>
      <c r="B3">
        <f>B7+D7+F7</f>
        <v>902</v>
      </c>
      <c r="L3" s="56" t="s">
        <v>56</v>
      </c>
      <c r="M3" s="123" t="s">
        <v>669</v>
      </c>
    </row>
    <row r="4" spans="1:13" x14ac:dyDescent="0.2">
      <c r="A4" s="56" t="s">
        <v>668</v>
      </c>
      <c r="B4">
        <f>B8+D8+F8</f>
        <v>5599</v>
      </c>
      <c r="L4" s="56" t="s">
        <v>74</v>
      </c>
      <c r="M4" s="123" t="s">
        <v>669</v>
      </c>
    </row>
    <row r="5" spans="1:13" x14ac:dyDescent="0.2">
      <c r="A5" s="56"/>
      <c r="L5" s="56" t="s">
        <v>93</v>
      </c>
      <c r="M5" s="123" t="s">
        <v>670</v>
      </c>
    </row>
    <row r="6" spans="1:13" x14ac:dyDescent="0.2">
      <c r="A6" s="122" t="s">
        <v>56</v>
      </c>
      <c r="B6" s="122"/>
      <c r="C6" s="122" t="s">
        <v>74</v>
      </c>
      <c r="D6" s="122"/>
      <c r="E6" s="122" t="s">
        <v>93</v>
      </c>
      <c r="F6" s="122"/>
      <c r="G6" s="122" t="s">
        <v>665</v>
      </c>
      <c r="H6" s="122"/>
    </row>
    <row r="7" spans="1:13" x14ac:dyDescent="0.2">
      <c r="A7" s="66" t="s">
        <v>38</v>
      </c>
      <c r="B7" s="66">
        <v>902</v>
      </c>
      <c r="C7" s="66" t="s">
        <v>38</v>
      </c>
      <c r="D7" s="66">
        <v>0</v>
      </c>
      <c r="E7" s="66" t="s">
        <v>38</v>
      </c>
      <c r="F7" s="66">
        <v>0</v>
      </c>
    </row>
    <row r="8" spans="1:13" x14ac:dyDescent="0.2">
      <c r="A8" s="66" t="s">
        <v>113</v>
      </c>
      <c r="B8" s="66">
        <f>SUM(B9:B40)</f>
        <v>3973</v>
      </c>
      <c r="C8" s="66" t="s">
        <v>113</v>
      </c>
      <c r="D8" s="66">
        <f>SUM(D9:D40)</f>
        <v>1376</v>
      </c>
      <c r="E8" s="66" t="s">
        <v>113</v>
      </c>
      <c r="F8" s="66">
        <f>SUM(F9:F40)</f>
        <v>250</v>
      </c>
    </row>
    <row r="9" spans="1:13" x14ac:dyDescent="0.2">
      <c r="A9" s="67" t="s">
        <v>34</v>
      </c>
      <c r="B9" s="48">
        <v>2842</v>
      </c>
      <c r="C9" s="67" t="s">
        <v>35</v>
      </c>
      <c r="D9" s="48">
        <v>980</v>
      </c>
      <c r="E9" s="67" t="s">
        <v>154</v>
      </c>
      <c r="F9" s="48">
        <v>141</v>
      </c>
    </row>
    <row r="10" spans="1:13" x14ac:dyDescent="0.2">
      <c r="A10" s="67" t="s">
        <v>80</v>
      </c>
      <c r="B10" s="48">
        <v>544</v>
      </c>
      <c r="C10" s="67" t="s">
        <v>79</v>
      </c>
      <c r="D10" s="48">
        <v>155</v>
      </c>
      <c r="E10" s="67" t="s">
        <v>155</v>
      </c>
      <c r="F10">
        <v>109</v>
      </c>
    </row>
    <row r="11" spans="1:13" x14ac:dyDescent="0.2">
      <c r="A11" s="67" t="s">
        <v>37</v>
      </c>
      <c r="B11" s="48">
        <v>379</v>
      </c>
      <c r="C11" s="67" t="s">
        <v>111</v>
      </c>
      <c r="D11" s="48">
        <v>83</v>
      </c>
      <c r="E11" s="67"/>
      <c r="F11" s="48"/>
    </row>
    <row r="12" spans="1:13" x14ac:dyDescent="0.2">
      <c r="A12" s="67" t="s">
        <v>101</v>
      </c>
      <c r="B12" s="48">
        <v>93</v>
      </c>
      <c r="C12" s="67" t="s">
        <v>90</v>
      </c>
      <c r="D12" s="48">
        <v>62</v>
      </c>
    </row>
    <row r="13" spans="1:13" x14ac:dyDescent="0.2">
      <c r="A13" s="67" t="s">
        <v>85</v>
      </c>
      <c r="B13" s="48">
        <v>52</v>
      </c>
      <c r="C13" s="67" t="s">
        <v>88</v>
      </c>
      <c r="D13" s="48">
        <v>38</v>
      </c>
      <c r="J13" s="58"/>
    </row>
    <row r="14" spans="1:13" x14ac:dyDescent="0.2">
      <c r="A14" s="67" t="s">
        <v>83</v>
      </c>
      <c r="B14" s="48">
        <v>36</v>
      </c>
      <c r="C14" s="67" t="s">
        <v>89</v>
      </c>
      <c r="D14" s="48">
        <v>34</v>
      </c>
      <c r="J14" s="58"/>
    </row>
    <row r="15" spans="1:13" x14ac:dyDescent="0.2">
      <c r="A15" s="67" t="s">
        <v>82</v>
      </c>
      <c r="B15" s="48">
        <v>27</v>
      </c>
      <c r="C15" s="67" t="s">
        <v>87</v>
      </c>
      <c r="D15" s="48">
        <v>24</v>
      </c>
      <c r="J15" s="58"/>
    </row>
    <row r="16" spans="1:13" x14ac:dyDescent="0.2">
      <c r="J16" s="58"/>
    </row>
    <row r="17" spans="9:12" x14ac:dyDescent="0.2">
      <c r="J17" s="58"/>
    </row>
    <row r="18" spans="9:12" x14ac:dyDescent="0.2">
      <c r="J18" s="58"/>
    </row>
    <row r="20" spans="9:12" x14ac:dyDescent="0.2">
      <c r="J20" t="s">
        <v>56</v>
      </c>
      <c r="K20" t="s">
        <v>74</v>
      </c>
      <c r="L20" t="s">
        <v>75</v>
      </c>
    </row>
    <row r="21" spans="9:12" x14ac:dyDescent="0.2">
      <c r="I21" s="14" t="s">
        <v>49</v>
      </c>
      <c r="J21">
        <v>1.1480000000000001E-2</v>
      </c>
      <c r="K21">
        <v>1.221419E-2</v>
      </c>
    </row>
    <row r="22" spans="9:12" x14ac:dyDescent="0.2">
      <c r="I22" s="48" t="s">
        <v>34</v>
      </c>
      <c r="J22">
        <v>0.16279299999999999</v>
      </c>
      <c r="K22">
        <v>0.19206216000000001</v>
      </c>
    </row>
    <row r="23" spans="9:12" x14ac:dyDescent="0.2">
      <c r="I23" s="48" t="s">
        <v>35</v>
      </c>
      <c r="J23">
        <v>0.14549999999999999</v>
      </c>
    </row>
    <row r="24" spans="9:12" x14ac:dyDescent="0.2">
      <c r="I24" s="48" t="s">
        <v>36</v>
      </c>
      <c r="J24">
        <v>4.1468800000000003</v>
      </c>
    </row>
    <row r="25" spans="9:12" x14ac:dyDescent="0.2">
      <c r="I25" s="48" t="s">
        <v>37</v>
      </c>
      <c r="J25">
        <v>141.71</v>
      </c>
    </row>
    <row r="26" spans="9:12" x14ac:dyDescent="0.2">
      <c r="I26" s="48" t="s">
        <v>41</v>
      </c>
      <c r="L26">
        <v>69.8</v>
      </c>
    </row>
    <row r="27" spans="9:12" x14ac:dyDescent="0.2">
      <c r="I27" s="48" t="s">
        <v>42</v>
      </c>
      <c r="J27">
        <v>10</v>
      </c>
    </row>
    <row r="28" spans="9:12" x14ac:dyDescent="0.2">
      <c r="I28" s="14" t="s">
        <v>43</v>
      </c>
      <c r="J28">
        <v>0.6</v>
      </c>
    </row>
    <row r="29" spans="9:12" x14ac:dyDescent="0.2">
      <c r="I29" s="14" t="s">
        <v>44</v>
      </c>
      <c r="J29">
        <v>200</v>
      </c>
    </row>
    <row r="30" spans="9:12" x14ac:dyDescent="0.2">
      <c r="I30" s="14" t="s">
        <v>46</v>
      </c>
      <c r="L30">
        <v>9.8000000000000007</v>
      </c>
    </row>
    <row r="47" spans="4:6" x14ac:dyDescent="0.2">
      <c r="D47" t="s">
        <v>93</v>
      </c>
      <c r="E47" t="s">
        <v>94</v>
      </c>
      <c r="F47" t="s">
        <v>95</v>
      </c>
    </row>
    <row r="48" spans="4:6" x14ac:dyDescent="0.2">
      <c r="D48" t="s">
        <v>93</v>
      </c>
      <c r="E48" t="s">
        <v>96</v>
      </c>
      <c r="F48" t="s">
        <v>97</v>
      </c>
    </row>
  </sheetData>
  <mergeCells count="4">
    <mergeCell ref="A6:B6"/>
    <mergeCell ref="G6:H6"/>
    <mergeCell ref="C6:D6"/>
    <mergeCell ref="E6:F6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2025-09-13T04:49:06Z</dcterms:modified>
</cp:coreProperties>
</file>